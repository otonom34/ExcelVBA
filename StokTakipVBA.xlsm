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90" windowWidth="27960" windowHeight="12600" activeTab="2"/>
  </bookViews>
  <sheets>
    <sheet name="ALIŞ" sheetId="1" r:id="rId1"/>
    <sheet name="SATIŞ" sheetId="5" r:id="rId2"/>
    <sheet name="STOK" sheetId="2" r:id="rId3"/>
  </sheets>
  <definedNames>
    <definedName name="LISTE">STOK!$X:$X</definedName>
    <definedName name="liste">ALIŞ!#REF!</definedName>
  </definedNames>
  <calcPr calcId="125725"/>
</workbook>
</file>

<file path=xl/calcChain.xml><?xml version="1.0" encoding="utf-8"?>
<calcChain xmlns="http://schemas.openxmlformats.org/spreadsheetml/2006/main">
  <c r="H11" i="1"/>
  <c r="G11"/>
  <c r="G10"/>
  <c r="G9"/>
  <c r="G8"/>
  <c r="G2"/>
  <c r="G3"/>
  <c r="G4"/>
  <c r="G5"/>
  <c r="G6"/>
  <c r="G7"/>
  <c r="A7" i="2"/>
  <c r="B7"/>
  <c r="G7" s="1"/>
  <c r="A8"/>
  <c r="B8"/>
  <c r="G8" s="1"/>
  <c r="A9"/>
  <c r="B9"/>
  <c r="G9" s="1"/>
  <c r="A6"/>
  <c r="B6"/>
  <c r="D6" s="1"/>
  <c r="G3" i="5"/>
  <c r="G4"/>
  <c r="G5"/>
  <c r="G2"/>
  <c r="B2" i="2"/>
  <c r="F2" s="1"/>
  <c r="B3"/>
  <c r="F3" s="1"/>
  <c r="B4"/>
  <c r="F4" s="1"/>
  <c r="B5"/>
  <c r="F5" s="1"/>
  <c r="B10"/>
  <c r="B11"/>
  <c r="E11" s="1"/>
  <c r="B12"/>
  <c r="E12" s="1"/>
  <c r="B13"/>
  <c r="E13" s="1"/>
  <c r="B14"/>
  <c r="B15"/>
  <c r="E15" s="1"/>
  <c r="B16"/>
  <c r="F16" s="1"/>
  <c r="B17"/>
  <c r="D17" s="1"/>
  <c r="B18"/>
  <c r="F18" s="1"/>
  <c r="B19"/>
  <c r="F19" s="1"/>
  <c r="B20"/>
  <c r="E20" s="1"/>
  <c r="B21"/>
  <c r="E21" s="1"/>
  <c r="B22"/>
  <c r="E22" s="1"/>
  <c r="B23"/>
  <c r="E23" s="1"/>
  <c r="B24"/>
  <c r="E24" s="1"/>
  <c r="B25"/>
  <c r="G25" s="1"/>
  <c r="B26"/>
  <c r="G26" s="1"/>
  <c r="B27"/>
  <c r="G27" s="1"/>
  <c r="B28"/>
  <c r="F28" s="1"/>
  <c r="B29"/>
  <c r="F29" s="1"/>
  <c r="B30"/>
  <c r="F30" s="1"/>
  <c r="B31"/>
  <c r="F31" s="1"/>
  <c r="B32"/>
  <c r="E32" s="1"/>
  <c r="B33"/>
  <c r="E33" s="1"/>
  <c r="B34"/>
  <c r="E34" s="1"/>
  <c r="B35"/>
  <c r="E35" s="1"/>
  <c r="B36"/>
  <c r="E36" s="1"/>
  <c r="B37"/>
  <c r="E37" s="1"/>
  <c r="B38"/>
  <c r="G38" s="1"/>
  <c r="B39"/>
  <c r="E39" s="1"/>
  <c r="B40"/>
  <c r="G40" s="1"/>
  <c r="B41"/>
  <c r="D41" s="1"/>
  <c r="B42"/>
  <c r="G42" s="1"/>
  <c r="B43"/>
  <c r="F43" s="1"/>
  <c r="B44"/>
  <c r="E44" s="1"/>
  <c r="B45"/>
  <c r="E45" s="1"/>
  <c r="B46"/>
  <c r="E46" s="1"/>
  <c r="B47"/>
  <c r="E47" s="1"/>
  <c r="B48"/>
  <c r="E48" s="1"/>
  <c r="B49"/>
  <c r="E49" s="1"/>
  <c r="B50"/>
  <c r="E50" s="1"/>
  <c r="B51"/>
  <c r="E51" s="1"/>
  <c r="B52"/>
  <c r="F52" s="1"/>
  <c r="B53"/>
  <c r="F53" s="1"/>
  <c r="B54"/>
  <c r="F54" s="1"/>
  <c r="B55"/>
  <c r="F55" s="1"/>
  <c r="B56"/>
  <c r="E56" s="1"/>
  <c r="B57"/>
  <c r="E57" s="1"/>
  <c r="B58"/>
  <c r="E58" s="1"/>
  <c r="B59"/>
  <c r="G59" s="1"/>
  <c r="B60"/>
  <c r="E60" s="1"/>
  <c r="B61"/>
  <c r="G61" s="1"/>
  <c r="B62"/>
  <c r="G62" s="1"/>
  <c r="B63"/>
  <c r="E63" s="1"/>
  <c r="B64"/>
  <c r="F64" s="1"/>
  <c r="B65"/>
  <c r="D65" s="1"/>
  <c r="B66"/>
  <c r="F66" s="1"/>
  <c r="B67"/>
  <c r="F67" s="1"/>
  <c r="B68"/>
  <c r="E68" s="1"/>
  <c r="B69"/>
  <c r="E69" s="1"/>
  <c r="B70"/>
  <c r="E70" s="1"/>
  <c r="B71"/>
  <c r="E71" s="1"/>
  <c r="B72"/>
  <c r="E72" s="1"/>
  <c r="B73"/>
  <c r="D73" s="1"/>
  <c r="B74"/>
  <c r="G74" s="1"/>
  <c r="B75"/>
  <c r="G75" s="1"/>
  <c r="B76"/>
  <c r="G76" s="1"/>
  <c r="B77"/>
  <c r="G77" s="1"/>
  <c r="B78"/>
  <c r="G78" s="1"/>
  <c r="B79"/>
  <c r="F79" s="1"/>
  <c r="B80"/>
  <c r="E80" s="1"/>
  <c r="B81"/>
  <c r="E81" s="1"/>
  <c r="B82"/>
  <c r="E82" s="1"/>
  <c r="B83"/>
  <c r="G83" s="1"/>
  <c r="B84"/>
  <c r="E84" s="1"/>
  <c r="B85"/>
  <c r="E85" s="1"/>
  <c r="B86"/>
  <c r="G86" s="1"/>
  <c r="B87"/>
  <c r="G87" s="1"/>
  <c r="B88"/>
  <c r="F88" s="1"/>
  <c r="B89"/>
  <c r="F89" s="1"/>
  <c r="B90"/>
  <c r="F90" s="1"/>
  <c r="B91"/>
  <c r="F91" s="1"/>
  <c r="B92"/>
  <c r="G92" s="1"/>
  <c r="B93"/>
  <c r="E93" s="1"/>
  <c r="B94"/>
  <c r="E94" s="1"/>
  <c r="B95"/>
  <c r="E95" s="1"/>
  <c r="B96"/>
  <c r="E96" s="1"/>
  <c r="B97"/>
  <c r="E97" s="1"/>
  <c r="B98"/>
  <c r="E98" s="1"/>
  <c r="B99"/>
  <c r="E99" s="1"/>
  <c r="B100"/>
  <c r="F100" s="1"/>
  <c r="B101"/>
  <c r="D101" s="1"/>
  <c r="B102"/>
  <c r="F102" s="1"/>
  <c r="B103"/>
  <c r="F103" s="1"/>
  <c r="B104"/>
  <c r="E104" s="1"/>
  <c r="B105"/>
  <c r="E105" s="1"/>
  <c r="B106"/>
  <c r="E106" s="1"/>
  <c r="B107"/>
  <c r="E107" s="1"/>
  <c r="A2"/>
  <c r="A3"/>
  <c r="A4"/>
  <c r="A5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E14" l="1"/>
  <c r="E10"/>
  <c r="D7"/>
  <c r="E7"/>
  <c r="I7" s="1"/>
  <c r="F7"/>
  <c r="C8"/>
  <c r="D8"/>
  <c r="E8"/>
  <c r="I8" s="1"/>
  <c r="F8"/>
  <c r="C9"/>
  <c r="D9"/>
  <c r="E9"/>
  <c r="I9" s="1"/>
  <c r="F9"/>
  <c r="C20"/>
  <c r="C49"/>
  <c r="D2"/>
  <c r="H2" s="1"/>
  <c r="C13"/>
  <c r="C105"/>
  <c r="C75"/>
  <c r="D92"/>
  <c r="D63"/>
  <c r="D33"/>
  <c r="F74"/>
  <c r="F38"/>
  <c r="G99"/>
  <c r="C80"/>
  <c r="C50"/>
  <c r="C21"/>
  <c r="D93"/>
  <c r="D64"/>
  <c r="H64" s="1"/>
  <c r="D38"/>
  <c r="F75"/>
  <c r="F39"/>
  <c r="G104"/>
  <c r="I104" s="1"/>
  <c r="C81"/>
  <c r="C51"/>
  <c r="C25"/>
  <c r="D98"/>
  <c r="D68"/>
  <c r="D39"/>
  <c r="H39" s="1"/>
  <c r="F80"/>
  <c r="F44"/>
  <c r="C85"/>
  <c r="C56"/>
  <c r="C26"/>
  <c r="D99"/>
  <c r="D69"/>
  <c r="D40"/>
  <c r="D14"/>
  <c r="F81"/>
  <c r="F45"/>
  <c r="C86"/>
  <c r="C57"/>
  <c r="C27"/>
  <c r="D100"/>
  <c r="H100" s="1"/>
  <c r="D74"/>
  <c r="D44"/>
  <c r="D15"/>
  <c r="F86"/>
  <c r="F50"/>
  <c r="F14"/>
  <c r="C87"/>
  <c r="C61"/>
  <c r="C32"/>
  <c r="D104"/>
  <c r="D75"/>
  <c r="D45"/>
  <c r="D16"/>
  <c r="H16" s="1"/>
  <c r="F87"/>
  <c r="F51"/>
  <c r="F15"/>
  <c r="G15"/>
  <c r="I15" s="1"/>
  <c r="C92"/>
  <c r="C62"/>
  <c r="C33"/>
  <c r="D105"/>
  <c r="D76"/>
  <c r="D50"/>
  <c r="D20"/>
  <c r="F92"/>
  <c r="F56"/>
  <c r="F20"/>
  <c r="G39"/>
  <c r="C93"/>
  <c r="C63"/>
  <c r="C37"/>
  <c r="D80"/>
  <c r="D51"/>
  <c r="D21"/>
  <c r="F93"/>
  <c r="F57"/>
  <c r="F21"/>
  <c r="G51"/>
  <c r="I51" s="1"/>
  <c r="E6"/>
  <c r="C97"/>
  <c r="C68"/>
  <c r="C38"/>
  <c r="D81"/>
  <c r="D52"/>
  <c r="H52" s="1"/>
  <c r="D26"/>
  <c r="F98"/>
  <c r="F62"/>
  <c r="F26"/>
  <c r="G56"/>
  <c r="I56" s="1"/>
  <c r="C98"/>
  <c r="C69"/>
  <c r="C39"/>
  <c r="D86"/>
  <c r="D56"/>
  <c r="D27"/>
  <c r="F99"/>
  <c r="F63"/>
  <c r="F27"/>
  <c r="G68"/>
  <c r="I68" s="1"/>
  <c r="C99"/>
  <c r="C73"/>
  <c r="C44"/>
  <c r="C14"/>
  <c r="D87"/>
  <c r="D57"/>
  <c r="D28"/>
  <c r="H28" s="1"/>
  <c r="F104"/>
  <c r="F68"/>
  <c r="F32"/>
  <c r="G88"/>
  <c r="C104"/>
  <c r="C74"/>
  <c r="C45"/>
  <c r="C15"/>
  <c r="D88"/>
  <c r="H88" s="1"/>
  <c r="D62"/>
  <c r="D32"/>
  <c r="F105"/>
  <c r="F69"/>
  <c r="F33"/>
  <c r="G98"/>
  <c r="I98" s="1"/>
  <c r="F6"/>
  <c r="H6" s="1"/>
  <c r="D77"/>
  <c r="D29"/>
  <c r="H29" s="1"/>
  <c r="E73"/>
  <c r="C106"/>
  <c r="C94"/>
  <c r="C82"/>
  <c r="C70"/>
  <c r="C58"/>
  <c r="C46"/>
  <c r="C34"/>
  <c r="C22"/>
  <c r="C10"/>
  <c r="D102"/>
  <c r="H102" s="1"/>
  <c r="D90"/>
  <c r="H90" s="1"/>
  <c r="D78"/>
  <c r="D66"/>
  <c r="H66" s="1"/>
  <c r="D54"/>
  <c r="H54" s="1"/>
  <c r="D42"/>
  <c r="D30"/>
  <c r="H30" s="1"/>
  <c r="D18"/>
  <c r="H18" s="1"/>
  <c r="D4"/>
  <c r="H4" s="1"/>
  <c r="E86"/>
  <c r="I86" s="1"/>
  <c r="E74"/>
  <c r="I74" s="1"/>
  <c r="E62"/>
  <c r="I62" s="1"/>
  <c r="E38"/>
  <c r="I38" s="1"/>
  <c r="E26"/>
  <c r="I26" s="1"/>
  <c r="F106"/>
  <c r="F94"/>
  <c r="F82"/>
  <c r="F70"/>
  <c r="F58"/>
  <c r="F46"/>
  <c r="F34"/>
  <c r="F22"/>
  <c r="F10"/>
  <c r="G100"/>
  <c r="G85"/>
  <c r="I85" s="1"/>
  <c r="G63"/>
  <c r="I63" s="1"/>
  <c r="G43"/>
  <c r="D89"/>
  <c r="H89" s="1"/>
  <c r="D53"/>
  <c r="H53" s="1"/>
  <c r="D3"/>
  <c r="H3" s="1"/>
  <c r="E61"/>
  <c r="I61" s="1"/>
  <c r="E25"/>
  <c r="I25" s="1"/>
  <c r="C107"/>
  <c r="C95"/>
  <c r="C83"/>
  <c r="C71"/>
  <c r="C59"/>
  <c r="C47"/>
  <c r="C35"/>
  <c r="C23"/>
  <c r="C11"/>
  <c r="D103"/>
  <c r="H103" s="1"/>
  <c r="D91"/>
  <c r="H91" s="1"/>
  <c r="D79"/>
  <c r="H79" s="1"/>
  <c r="D67"/>
  <c r="H67" s="1"/>
  <c r="D55"/>
  <c r="H55" s="1"/>
  <c r="D43"/>
  <c r="H43" s="1"/>
  <c r="D31"/>
  <c r="H31" s="1"/>
  <c r="D19"/>
  <c r="H19" s="1"/>
  <c r="D5"/>
  <c r="H5" s="1"/>
  <c r="E87"/>
  <c r="I87" s="1"/>
  <c r="E75"/>
  <c r="I75" s="1"/>
  <c r="E27"/>
  <c r="I27" s="1"/>
  <c r="F107"/>
  <c r="F95"/>
  <c r="F83"/>
  <c r="F71"/>
  <c r="F59"/>
  <c r="F47"/>
  <c r="F35"/>
  <c r="F23"/>
  <c r="F11"/>
  <c r="G101"/>
  <c r="G66"/>
  <c r="G44"/>
  <c r="I44" s="1"/>
  <c r="G6"/>
  <c r="C96"/>
  <c r="C84"/>
  <c r="C72"/>
  <c r="C60"/>
  <c r="C48"/>
  <c r="C36"/>
  <c r="C24"/>
  <c r="C12"/>
  <c r="E100"/>
  <c r="E88"/>
  <c r="E76"/>
  <c r="I76" s="1"/>
  <c r="E64"/>
  <c r="E52"/>
  <c r="E40"/>
  <c r="I40" s="1"/>
  <c r="E28"/>
  <c r="E16"/>
  <c r="E2"/>
  <c r="F96"/>
  <c r="F84"/>
  <c r="F72"/>
  <c r="F60"/>
  <c r="F48"/>
  <c r="F36"/>
  <c r="F24"/>
  <c r="F12"/>
  <c r="G102"/>
  <c r="G67"/>
  <c r="G47"/>
  <c r="I47" s="1"/>
  <c r="G28"/>
  <c r="G21"/>
  <c r="I21" s="1"/>
  <c r="E101"/>
  <c r="E89"/>
  <c r="E77"/>
  <c r="I77" s="1"/>
  <c r="E65"/>
  <c r="E53"/>
  <c r="E41"/>
  <c r="E29"/>
  <c r="E17"/>
  <c r="E3"/>
  <c r="F97"/>
  <c r="F85"/>
  <c r="F73"/>
  <c r="H73" s="1"/>
  <c r="F61"/>
  <c r="F49"/>
  <c r="F37"/>
  <c r="F25"/>
  <c r="F13"/>
  <c r="G103"/>
  <c r="G29"/>
  <c r="D106"/>
  <c r="D94"/>
  <c r="D82"/>
  <c r="D70"/>
  <c r="D58"/>
  <c r="D46"/>
  <c r="D34"/>
  <c r="D22"/>
  <c r="D10"/>
  <c r="E102"/>
  <c r="E90"/>
  <c r="E78"/>
  <c r="I78" s="1"/>
  <c r="E66"/>
  <c r="E54"/>
  <c r="E42"/>
  <c r="I42" s="1"/>
  <c r="E30"/>
  <c r="E18"/>
  <c r="E4"/>
  <c r="G89"/>
  <c r="G71"/>
  <c r="I71" s="1"/>
  <c r="G52"/>
  <c r="G30"/>
  <c r="D95"/>
  <c r="D71"/>
  <c r="D47"/>
  <c r="D11"/>
  <c r="E91"/>
  <c r="E67"/>
  <c r="E31"/>
  <c r="G73"/>
  <c r="G2"/>
  <c r="C100"/>
  <c r="C88"/>
  <c r="C76"/>
  <c r="C64"/>
  <c r="C52"/>
  <c r="C40"/>
  <c r="C28"/>
  <c r="C16"/>
  <c r="C2"/>
  <c r="D96"/>
  <c r="D84"/>
  <c r="D72"/>
  <c r="D60"/>
  <c r="D48"/>
  <c r="D36"/>
  <c r="D24"/>
  <c r="D12"/>
  <c r="E92"/>
  <c r="I92" s="1"/>
  <c r="F76"/>
  <c r="F40"/>
  <c r="G91"/>
  <c r="G54"/>
  <c r="G37"/>
  <c r="I37" s="1"/>
  <c r="G3"/>
  <c r="D107"/>
  <c r="D83"/>
  <c r="D59"/>
  <c r="D35"/>
  <c r="D23"/>
  <c r="E103"/>
  <c r="E79"/>
  <c r="E55"/>
  <c r="E43"/>
  <c r="E19"/>
  <c r="E5"/>
  <c r="H63"/>
  <c r="G107"/>
  <c r="I107" s="1"/>
  <c r="G90"/>
  <c r="G53"/>
  <c r="G35"/>
  <c r="I35" s="1"/>
  <c r="C101"/>
  <c r="C89"/>
  <c r="C77"/>
  <c r="C65"/>
  <c r="C53"/>
  <c r="C41"/>
  <c r="C29"/>
  <c r="C17"/>
  <c r="C3"/>
  <c r="D97"/>
  <c r="D85"/>
  <c r="D61"/>
  <c r="D49"/>
  <c r="D37"/>
  <c r="D25"/>
  <c r="D13"/>
  <c r="F101"/>
  <c r="H101" s="1"/>
  <c r="F77"/>
  <c r="F65"/>
  <c r="H65" s="1"/>
  <c r="F41"/>
  <c r="H41" s="1"/>
  <c r="F17"/>
  <c r="H17" s="1"/>
  <c r="G55"/>
  <c r="G4"/>
  <c r="C102"/>
  <c r="C90"/>
  <c r="C78"/>
  <c r="C66"/>
  <c r="C54"/>
  <c r="C42"/>
  <c r="C30"/>
  <c r="C18"/>
  <c r="C4"/>
  <c r="F78"/>
  <c r="F42"/>
  <c r="G95"/>
  <c r="I95" s="1"/>
  <c r="I39"/>
  <c r="G5"/>
  <c r="C103"/>
  <c r="C91"/>
  <c r="C79"/>
  <c r="C67"/>
  <c r="C55"/>
  <c r="C43"/>
  <c r="C31"/>
  <c r="C19"/>
  <c r="C5"/>
  <c r="E83"/>
  <c r="I83" s="1"/>
  <c r="E59"/>
  <c r="I59" s="1"/>
  <c r="G97"/>
  <c r="I97" s="1"/>
  <c r="G41"/>
  <c r="G17"/>
  <c r="H33"/>
  <c r="I99"/>
  <c r="G19"/>
  <c r="G23"/>
  <c r="I23" s="1"/>
  <c r="G79"/>
  <c r="G64"/>
  <c r="G49"/>
  <c r="I49" s="1"/>
  <c r="G31"/>
  <c r="G80"/>
  <c r="I80" s="1"/>
  <c r="G65"/>
  <c r="G50"/>
  <c r="I50" s="1"/>
  <c r="G32"/>
  <c r="I32" s="1"/>
  <c r="G11"/>
  <c r="I11" s="1"/>
  <c r="G106"/>
  <c r="I106" s="1"/>
  <c r="G94"/>
  <c r="I94" s="1"/>
  <c r="G82"/>
  <c r="I82" s="1"/>
  <c r="G70"/>
  <c r="I70" s="1"/>
  <c r="G58"/>
  <c r="I58" s="1"/>
  <c r="G46"/>
  <c r="I46" s="1"/>
  <c r="G34"/>
  <c r="I34" s="1"/>
  <c r="G22"/>
  <c r="I22" s="1"/>
  <c r="G10"/>
  <c r="G96"/>
  <c r="I96" s="1"/>
  <c r="G84"/>
  <c r="I84" s="1"/>
  <c r="G72"/>
  <c r="I72" s="1"/>
  <c r="G60"/>
  <c r="I60" s="1"/>
  <c r="G48"/>
  <c r="I48" s="1"/>
  <c r="G36"/>
  <c r="I36" s="1"/>
  <c r="G24"/>
  <c r="I24" s="1"/>
  <c r="G12"/>
  <c r="I12" s="1"/>
  <c r="G13"/>
  <c r="I13" s="1"/>
  <c r="G14"/>
  <c r="G16"/>
  <c r="G18"/>
  <c r="G20"/>
  <c r="I20" s="1"/>
  <c r="G105"/>
  <c r="I105" s="1"/>
  <c r="G93"/>
  <c r="I93" s="1"/>
  <c r="G81"/>
  <c r="I81" s="1"/>
  <c r="G69"/>
  <c r="I69" s="1"/>
  <c r="G57"/>
  <c r="I57" s="1"/>
  <c r="G45"/>
  <c r="I45" s="1"/>
  <c r="G33"/>
  <c r="I33" s="1"/>
  <c r="I10" l="1"/>
  <c r="H45"/>
  <c r="I14"/>
  <c r="H77"/>
  <c r="H50"/>
  <c r="H93"/>
  <c r="H14"/>
  <c r="H75"/>
  <c r="H69"/>
  <c r="H26"/>
  <c r="H51"/>
  <c r="H74"/>
  <c r="H78"/>
  <c r="H80"/>
  <c r="H7"/>
  <c r="H86"/>
  <c r="H104"/>
  <c r="H98"/>
  <c r="I16"/>
  <c r="H20"/>
  <c r="H8"/>
  <c r="H21"/>
  <c r="H76"/>
  <c r="H40"/>
  <c r="H9"/>
  <c r="H38"/>
  <c r="H62"/>
  <c r="H105"/>
  <c r="H32"/>
  <c r="H92"/>
  <c r="I18"/>
  <c r="I6"/>
  <c r="H56"/>
  <c r="I64"/>
  <c r="I29"/>
  <c r="H15"/>
  <c r="H60"/>
  <c r="H27"/>
  <c r="H57"/>
  <c r="H87"/>
  <c r="H99"/>
  <c r="H81"/>
  <c r="H68"/>
  <c r="H97"/>
  <c r="I28"/>
  <c r="H72"/>
  <c r="I88"/>
  <c r="H44"/>
  <c r="I52"/>
  <c r="I17"/>
  <c r="H84"/>
  <c r="I65"/>
  <c r="I4"/>
  <c r="I53"/>
  <c r="I19"/>
  <c r="I41"/>
  <c r="I31"/>
  <c r="H42"/>
  <c r="I55"/>
  <c r="H96"/>
  <c r="H49"/>
  <c r="I5"/>
  <c r="H37"/>
  <c r="H58"/>
  <c r="I66"/>
  <c r="I89"/>
  <c r="I54"/>
  <c r="H13"/>
  <c r="H24"/>
  <c r="H95"/>
  <c r="H34"/>
  <c r="I91"/>
  <c r="I79"/>
  <c r="I73"/>
  <c r="I30"/>
  <c r="I103"/>
  <c r="H12"/>
  <c r="H83"/>
  <c r="H22"/>
  <c r="I3"/>
  <c r="I2"/>
  <c r="I102"/>
  <c r="H71"/>
  <c r="H10"/>
  <c r="I90"/>
  <c r="I67"/>
  <c r="H59"/>
  <c r="I100"/>
  <c r="H47"/>
  <c r="H35"/>
  <c r="H85"/>
  <c r="H23"/>
  <c r="I43"/>
  <c r="H106"/>
  <c r="H94"/>
  <c r="H61"/>
  <c r="I101"/>
  <c r="H82"/>
  <c r="H70"/>
  <c r="H11"/>
  <c r="H48"/>
  <c r="H25"/>
  <c r="H36"/>
  <c r="H107"/>
  <c r="H46"/>
</calcChain>
</file>

<file path=xl/sharedStrings.xml><?xml version="1.0" encoding="utf-8"?>
<sst xmlns="http://schemas.openxmlformats.org/spreadsheetml/2006/main" count="84" uniqueCount="55">
  <si>
    <t>Ürün Adı</t>
  </si>
  <si>
    <t>Ürün Kodu</t>
  </si>
  <si>
    <t>Alınan Adet</t>
  </si>
  <si>
    <t>Alınan Fiyat</t>
  </si>
  <si>
    <t>Satılan Adet</t>
  </si>
  <si>
    <t>Satılan Fiyat</t>
  </si>
  <si>
    <t xml:space="preserve">Tedarikçi Firma </t>
  </si>
  <si>
    <t>Kategori</t>
  </si>
  <si>
    <t>KAYIT CİHAZI</t>
  </si>
  <si>
    <t>BULLWARK 4 KANAL DVR</t>
  </si>
  <si>
    <t>BİGES</t>
  </si>
  <si>
    <t>VGUARD 4 KANAL DVR</t>
  </si>
  <si>
    <t>BLW 4404</t>
  </si>
  <si>
    <t>VG 4004</t>
  </si>
  <si>
    <t>BLW 521</t>
  </si>
  <si>
    <t>BULLWARK DOME KAMERA 2 MP 2,8MM</t>
  </si>
  <si>
    <t xml:space="preserve">KAMERA </t>
  </si>
  <si>
    <t>KATEGORI</t>
  </si>
  <si>
    <t>HARDDISK</t>
  </si>
  <si>
    <t xml:space="preserve">KABLO </t>
  </si>
  <si>
    <t>JAK</t>
  </si>
  <si>
    <t>HIRDAVAT</t>
  </si>
  <si>
    <t xml:space="preserve">ALARM </t>
  </si>
  <si>
    <t>PC URUNLERI</t>
  </si>
  <si>
    <t>ADET</t>
  </si>
  <si>
    <t>TOPLAM FİYAT</t>
  </si>
  <si>
    <t xml:space="preserve">Müşteri </t>
  </si>
  <si>
    <t>HA 4008</t>
  </si>
  <si>
    <t>Haikon 8 Kanal Kayıt Cihazı</t>
  </si>
  <si>
    <t>Elar Elektronik</t>
  </si>
  <si>
    <t>Haikon 8 li DVR</t>
  </si>
  <si>
    <t>Paşa</t>
  </si>
  <si>
    <t>Bullwark 4 lü kayıt cihazı</t>
  </si>
  <si>
    <t>ahmet</t>
  </si>
  <si>
    <t>Kalan ADET</t>
  </si>
  <si>
    <t>KAR</t>
  </si>
  <si>
    <t>Haikoon</t>
  </si>
  <si>
    <t>memet</t>
  </si>
  <si>
    <t>vg 652</t>
  </si>
  <si>
    <t>vguard 2 mp kamera</t>
  </si>
  <si>
    <t>Biges</t>
  </si>
  <si>
    <t>3,5"</t>
  </si>
  <si>
    <t>Seagate</t>
  </si>
  <si>
    <t>Videofon</t>
  </si>
  <si>
    <t>2,5"</t>
  </si>
  <si>
    <t>Western Digital</t>
  </si>
  <si>
    <t>UTP Cat6</t>
  </si>
  <si>
    <t>Nexans Cat6 Kablo</t>
  </si>
  <si>
    <t>Nar Elektrik</t>
  </si>
  <si>
    <t>bnc</t>
  </si>
  <si>
    <t>sv</t>
  </si>
  <si>
    <t>v</t>
  </si>
  <si>
    <t>mh</t>
  </si>
  <si>
    <t>hm</t>
  </si>
  <si>
    <t>Tarih</t>
  </si>
</sst>
</file>

<file path=xl/styles.xml><?xml version="1.0" encoding="utf-8"?>
<styleSheet xmlns="http://schemas.openxmlformats.org/spreadsheetml/2006/main">
  <numFmts count="1">
    <numFmt numFmtId="164" formatCode="&quot;₺&quot;#,##0.00"/>
  </numFmts>
  <fonts count="3">
    <font>
      <sz val="11"/>
      <color theme="1"/>
      <name val="Calibri"/>
      <family val="2"/>
      <charset val="162"/>
      <scheme val="minor"/>
    </font>
    <font>
      <b/>
      <sz val="14"/>
      <color theme="1"/>
      <name val="Calibri"/>
      <family val="2"/>
      <charset val="162"/>
      <scheme val="minor"/>
    </font>
    <font>
      <b/>
      <sz val="14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</cellXfs>
  <cellStyles count="1">
    <cellStyle name="Normal" xfId="0" builtinId="0"/>
  </cellStyles>
  <dxfs count="30"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&quot;₺&quot;#,##0.00"/>
      <alignment horizontal="center" vertical="center" textRotation="0" wrapText="0" indent="0" relativeIndent="255" justifyLastLine="0" shrinkToFit="0" mergeCell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alignment horizontal="center" vertical="center" textRotation="0" wrapText="0" indent="0" relativeIndent="255" justifyLastLine="0" shrinkToFit="0" mergeCell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&quot;₺&quot;#,##0.00"/>
      <alignment horizontal="center" vertical="center" textRotation="0" wrapText="0" indent="0" relativeIndent="255" justifyLastLine="0" shrinkToFit="0" mergeCell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alignment horizontal="center" vertical="center" textRotation="0" wrapText="0" indent="0" relativeIndent="255" justifyLastLine="0" shrinkToFit="0" mergeCell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&quot;₺&quot;#,##0.00"/>
      <alignment horizontal="center" vertical="center" textRotation="0" wrapText="0" indent="0" relativeIndent="255" justifyLastLine="0" shrinkToFit="0" mergeCell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alignment horizontal="center" vertical="center" textRotation="0" wrapText="0" indent="0" relativeIndent="255" justifyLastLine="0" shrinkToFit="0" mergeCell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alignment horizontal="center" vertical="center" textRotation="0" wrapText="0" indent="0" relativeIndent="255" justifyLastLine="0" shrinkToFit="0" mergeCell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alignment horizontal="center" vertical="center" textRotation="0" wrapText="0" indent="0" relativeIndent="0" justifyLastLine="0" shrinkToFit="0" mergeCell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alignment horizontal="center" vertical="center" textRotation="0" wrapText="0" indent="0" relativeIndent="255" justifyLastLine="0" shrinkToFit="0" mergeCell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</dxf>
    <dxf>
      <numFmt numFmtId="164" formatCode="&quot;₺&quot;#,##0.0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164" formatCode="&quot;₺&quot;#,##0.0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19" formatCode="d/mm/yyyy"/>
      <alignment horizontal="center" vertical="center" textRotation="0" wrapText="0" indent="0" relativeIndent="255" justifyLastLine="0" shrinkToFit="0" mergeCell="0" readingOrder="0"/>
    </dxf>
    <dxf>
      <numFmt numFmtId="164" formatCode="&quot;₺&quot;#,##0.0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164" formatCode="&quot;₺&quot;#,##0.0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5" name="URUN_KAYIT6" displayName="URUN_KAYIT6" ref="A1:H11" totalsRowShown="0" headerRowDxfId="29" dataDxfId="28">
  <autoFilter ref="A1:H11">
    <filterColumn colId="5"/>
    <filterColumn colId="6"/>
    <filterColumn colId="7"/>
  </autoFilter>
  <tableColumns count="8">
    <tableColumn id="1" name="Kategori" dataDxfId="27"/>
    <tableColumn id="2" name="Ürün Kodu" dataDxfId="26"/>
    <tableColumn id="3" name="Ürün Adı" dataDxfId="25"/>
    <tableColumn id="4" name="Tedarikçi Firma " dataDxfId="24"/>
    <tableColumn id="5" name="Alınan Fiyat" dataDxfId="23"/>
    <tableColumn id="6" name="ADET" dataDxfId="22"/>
    <tableColumn id="7" name="TOPLAM FİYAT" dataDxfId="21">
      <calculatedColumnFormula>E2*F2</calculatedColumnFormula>
    </tableColumn>
    <tableColumn id="8" name="Tarih" dataDxfId="20">
      <calculatedColumnFormula>TODAY()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7" name="URUN_KAYIT8" displayName="URUN_KAYIT8" ref="A1:G5" totalsRowShown="0" headerRowDxfId="19" dataDxfId="18">
  <autoFilter ref="A1:G5">
    <filterColumn colId="5"/>
    <filterColumn colId="6"/>
  </autoFilter>
  <tableColumns count="7">
    <tableColumn id="1" name="Kategori" dataDxfId="17"/>
    <tableColumn id="2" name="Ürün Kodu" dataDxfId="16"/>
    <tableColumn id="3" name="Ürün Adı" dataDxfId="15"/>
    <tableColumn id="4" name="Müşteri " dataDxfId="14"/>
    <tableColumn id="5" name="Satılan Fiyat" dataDxfId="13"/>
    <tableColumn id="6" name="ADET" dataDxfId="12"/>
    <tableColumn id="7" name="TOPLAM FİYAT" dataDxfId="11">
      <calculatedColumnFormula>E2*F2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1" name="STOK" displayName="STOK" ref="A1:I107" totalsRowShown="0" headerRowDxfId="10" dataDxfId="9">
  <autoFilter ref="A1:I107">
    <filterColumn colId="0"/>
    <filterColumn colId="7"/>
    <filterColumn colId="8"/>
  </autoFilter>
  <tableColumns count="9">
    <tableColumn id="7" name="KATEGORI" dataDxfId="8">
      <calculatedColumnFormula>IFERROR(URUN_KAYIT6[[#This Row],[Kategori]],"")</calculatedColumnFormula>
    </tableColumn>
    <tableColumn id="1" name="Ürün Kodu" dataDxfId="7">
      <calculatedColumnFormula>IFERROR(URUN_KAYIT6[[#This Row],[Ürün Kodu]],"")</calculatedColumnFormula>
    </tableColumn>
    <tableColumn id="2" name="Ürün Adı" dataDxfId="6">
      <calculatedColumnFormula>IFERROR(VLOOKUP(B2,ALIŞ!B:C,2,0),"")</calculatedColumnFormula>
    </tableColumn>
    <tableColumn id="3" name="Alınan Adet" dataDxfId="5">
      <calculatedColumnFormula>IFERROR(SUMIF(ALIŞ!$B:$B,STOK!$B:$B,ALIŞ!$F:$F),"")</calculatedColumnFormula>
    </tableColumn>
    <tableColumn id="4" name="Alınan Fiyat" dataDxfId="4">
      <calculatedColumnFormula>IFERROR(SUMIF(ALIŞ!$B:$B,STOK!$B:$B,ALIŞ!$G:$G),"")</calculatedColumnFormula>
    </tableColumn>
    <tableColumn id="5" name="Satılan Adet" dataDxfId="3">
      <calculatedColumnFormula>IFERROR(SUMIF(SATIŞ!$B:$B,STOK!$B:$B,SATIŞ!$F:$F)," " )</calculatedColumnFormula>
    </tableColumn>
    <tableColumn id="6" name="Satılan Fiyat" dataDxfId="2">
      <calculatedColumnFormula>IFERROR(SUMIF(SATIŞ!$B:$B,STOK!$B:$B,SATIŞ!$G:$G),"")</calculatedColumnFormula>
    </tableColumn>
    <tableColumn id="8" name="Kalan ADET" dataDxfId="1">
      <calculatedColumnFormula>IFERROR(D2-F2," ")</calculatedColumnFormula>
    </tableColumn>
    <tableColumn id="9" name="KAR" dataDxfId="0">
      <calculatedColumnFormula>IFERROR(G2-E2," ")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ayfa1"/>
  <dimension ref="A1:H18"/>
  <sheetViews>
    <sheetView topLeftCell="B1" workbookViewId="0">
      <selection activeCell="E20" sqref="E20"/>
    </sheetView>
  </sheetViews>
  <sheetFormatPr defaultRowHeight="15"/>
  <cols>
    <col min="1" max="1" width="15" style="1" bestFit="1" customWidth="1"/>
    <col min="2" max="2" width="14" style="1" customWidth="1"/>
    <col min="3" max="3" width="47.7109375" style="3" customWidth="1"/>
    <col min="4" max="4" width="14.140625" style="2" bestFit="1" customWidth="1"/>
    <col min="5" max="5" width="15.140625" style="1" customWidth="1"/>
    <col min="6" max="6" width="9.140625" style="1"/>
    <col min="7" max="7" width="19.5703125" style="1" customWidth="1"/>
    <col min="8" max="8" width="10.140625" style="1" bestFit="1" customWidth="1"/>
    <col min="9" max="9" width="9.140625" style="1"/>
    <col min="10" max="10" width="16.140625" style="1" customWidth="1"/>
    <col min="11" max="11" width="14.7109375" style="1" customWidth="1"/>
    <col min="12" max="16384" width="9.140625" style="1"/>
  </cols>
  <sheetData>
    <row r="1" spans="1:8" ht="38.25" customHeight="1">
      <c r="A1" s="1" t="s">
        <v>7</v>
      </c>
      <c r="B1" s="1" t="s">
        <v>1</v>
      </c>
      <c r="C1" s="1" t="s">
        <v>0</v>
      </c>
      <c r="D1" s="1" t="s">
        <v>6</v>
      </c>
      <c r="E1" s="1" t="s">
        <v>3</v>
      </c>
      <c r="F1" s="1" t="s">
        <v>24</v>
      </c>
      <c r="G1" s="1" t="s">
        <v>25</v>
      </c>
      <c r="H1" s="1" t="s">
        <v>54</v>
      </c>
    </row>
    <row r="2" spans="1:8" ht="21.75" customHeight="1">
      <c r="A2" s="1" t="s">
        <v>8</v>
      </c>
      <c r="B2" s="1" t="s">
        <v>12</v>
      </c>
      <c r="C2" s="1" t="s">
        <v>9</v>
      </c>
      <c r="D2" s="1" t="s">
        <v>10</v>
      </c>
      <c r="E2" s="2">
        <v>458</v>
      </c>
      <c r="F2" s="1">
        <v>1</v>
      </c>
      <c r="G2" s="2">
        <f t="shared" ref="G2:G7" si="0">E2*F2</f>
        <v>458</v>
      </c>
      <c r="H2" s="12">
        <v>44211</v>
      </c>
    </row>
    <row r="3" spans="1:8" ht="21.75" customHeight="1">
      <c r="A3" s="1" t="s">
        <v>8</v>
      </c>
      <c r="B3" s="1" t="s">
        <v>13</v>
      </c>
      <c r="C3" s="4" t="s">
        <v>11</v>
      </c>
      <c r="D3" s="1" t="s">
        <v>10</v>
      </c>
      <c r="E3" s="5">
        <v>462</v>
      </c>
      <c r="F3" s="1">
        <v>1</v>
      </c>
      <c r="G3" s="2">
        <f t="shared" si="0"/>
        <v>462</v>
      </c>
      <c r="H3" s="12">
        <v>44214</v>
      </c>
    </row>
    <row r="4" spans="1:8" ht="21.75" customHeight="1">
      <c r="A4" s="1" t="s">
        <v>8</v>
      </c>
      <c r="B4" s="4" t="s">
        <v>14</v>
      </c>
      <c r="C4" s="4" t="s">
        <v>15</v>
      </c>
      <c r="D4" s="1" t="s">
        <v>10</v>
      </c>
      <c r="E4" s="5">
        <v>245</v>
      </c>
      <c r="F4" s="1">
        <v>1</v>
      </c>
      <c r="G4" s="2">
        <f t="shared" si="0"/>
        <v>245</v>
      </c>
      <c r="H4" s="12">
        <v>44215</v>
      </c>
    </row>
    <row r="5" spans="1:8">
      <c r="A5" s="4" t="s">
        <v>8</v>
      </c>
      <c r="B5" s="4" t="s">
        <v>27</v>
      </c>
      <c r="C5" s="4" t="s">
        <v>28</v>
      </c>
      <c r="D5" s="4" t="s">
        <v>29</v>
      </c>
      <c r="E5" s="5">
        <v>149</v>
      </c>
      <c r="F5" s="4">
        <v>2</v>
      </c>
      <c r="G5" s="5">
        <f t="shared" si="0"/>
        <v>298</v>
      </c>
      <c r="H5" s="12">
        <v>44216</v>
      </c>
    </row>
    <row r="6" spans="1:8">
      <c r="A6" s="4" t="s">
        <v>16</v>
      </c>
      <c r="B6" s="4" t="s">
        <v>38</v>
      </c>
      <c r="C6" s="4" t="s">
        <v>39</v>
      </c>
      <c r="D6" s="4" t="s">
        <v>40</v>
      </c>
      <c r="E6" s="5">
        <v>300</v>
      </c>
      <c r="F6" s="4">
        <v>2</v>
      </c>
      <c r="G6" s="5">
        <f t="shared" si="0"/>
        <v>600</v>
      </c>
      <c r="H6" s="12">
        <v>44217</v>
      </c>
    </row>
    <row r="7" spans="1:8">
      <c r="A7" s="4" t="s">
        <v>18</v>
      </c>
      <c r="B7" s="4" t="s">
        <v>41</v>
      </c>
      <c r="C7" s="4" t="s">
        <v>42</v>
      </c>
      <c r="D7" s="4" t="s">
        <v>43</v>
      </c>
      <c r="E7" s="5">
        <v>265</v>
      </c>
      <c r="F7" s="4">
        <v>1</v>
      </c>
      <c r="G7" s="5">
        <f t="shared" si="0"/>
        <v>265</v>
      </c>
      <c r="H7" s="12">
        <v>44218</v>
      </c>
    </row>
    <row r="8" spans="1:8">
      <c r="A8" s="4" t="s">
        <v>18</v>
      </c>
      <c r="B8" s="4" t="s">
        <v>44</v>
      </c>
      <c r="C8" s="4" t="s">
        <v>45</v>
      </c>
      <c r="D8" s="4" t="s">
        <v>40</v>
      </c>
      <c r="E8" s="5">
        <v>221</v>
      </c>
      <c r="F8" s="4">
        <v>1</v>
      </c>
      <c r="G8" s="5">
        <f>E8*F8</f>
        <v>221</v>
      </c>
      <c r="H8" s="12">
        <v>44221</v>
      </c>
    </row>
    <row r="9" spans="1:8">
      <c r="A9" s="4" t="s">
        <v>19</v>
      </c>
      <c r="B9" s="4" t="s">
        <v>46</v>
      </c>
      <c r="C9" s="4" t="s">
        <v>47</v>
      </c>
      <c r="D9" s="4" t="s">
        <v>48</v>
      </c>
      <c r="E9" s="5">
        <v>2225</v>
      </c>
      <c r="F9" s="4">
        <v>305</v>
      </c>
      <c r="G9" s="5">
        <f>E9*F9</f>
        <v>678625</v>
      </c>
      <c r="H9" s="12">
        <v>44222</v>
      </c>
    </row>
    <row r="10" spans="1:8">
      <c r="A10" s="4" t="s">
        <v>20</v>
      </c>
      <c r="B10" s="4" t="s">
        <v>49</v>
      </c>
      <c r="C10" s="4" t="s">
        <v>50</v>
      </c>
      <c r="D10" s="4" t="s">
        <v>51</v>
      </c>
      <c r="E10" s="5">
        <v>23</v>
      </c>
      <c r="F10" s="4">
        <v>7</v>
      </c>
      <c r="G10" s="5">
        <f>E10*F10</f>
        <v>161</v>
      </c>
      <c r="H10" s="12">
        <v>44223</v>
      </c>
    </row>
    <row r="11" spans="1:8">
      <c r="A11" s="4" t="s">
        <v>18</v>
      </c>
      <c r="B11" s="4" t="s">
        <v>52</v>
      </c>
      <c r="C11" s="4" t="s">
        <v>52</v>
      </c>
      <c r="D11" s="4" t="s">
        <v>53</v>
      </c>
      <c r="E11" s="5">
        <v>561</v>
      </c>
      <c r="F11" s="4">
        <v>1</v>
      </c>
      <c r="G11" s="5">
        <f>E11*F11</f>
        <v>561</v>
      </c>
      <c r="H11" s="13">
        <f ca="1">TODAY()</f>
        <v>44230</v>
      </c>
    </row>
    <row r="12" spans="1:8">
      <c r="C12" s="1"/>
      <c r="D12" s="1"/>
    </row>
    <row r="13" spans="1:8">
      <c r="C13" s="1"/>
      <c r="D13" s="1"/>
    </row>
    <row r="14" spans="1:8">
      <c r="C14" s="1"/>
      <c r="D14" s="1"/>
    </row>
    <row r="15" spans="1:8">
      <c r="C15" s="1"/>
      <c r="D15" s="1"/>
    </row>
    <row r="16" spans="1:8">
      <c r="C16" s="1"/>
      <c r="D16" s="1"/>
    </row>
    <row r="17" spans="3:4">
      <c r="C17" s="1"/>
      <c r="D17" s="1"/>
    </row>
    <row r="18" spans="3:4">
      <c r="C18" s="1"/>
      <c r="D18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ayfa2"/>
  <dimension ref="A1:G5"/>
  <sheetViews>
    <sheetView workbookViewId="0">
      <selection activeCell="B40" sqref="B40"/>
    </sheetView>
  </sheetViews>
  <sheetFormatPr defaultRowHeight="15"/>
  <cols>
    <col min="1" max="1" width="16.28515625" style="1" customWidth="1"/>
    <col min="2" max="2" width="12.42578125" style="1" customWidth="1"/>
    <col min="3" max="3" width="42" style="1" customWidth="1"/>
    <col min="4" max="4" width="29.28515625" style="1" customWidth="1"/>
    <col min="5" max="5" width="18.140625" style="1" customWidth="1"/>
    <col min="6" max="6" width="10.140625" style="1" bestFit="1" customWidth="1"/>
    <col min="7" max="7" width="18.7109375" style="1" bestFit="1" customWidth="1"/>
    <col min="8" max="16384" width="9.140625" style="1"/>
  </cols>
  <sheetData>
    <row r="1" spans="1:7" ht="32.25" customHeight="1">
      <c r="A1" s="1" t="s">
        <v>7</v>
      </c>
      <c r="B1" s="1" t="s">
        <v>1</v>
      </c>
      <c r="C1" s="1" t="s">
        <v>0</v>
      </c>
      <c r="D1" s="1" t="s">
        <v>26</v>
      </c>
      <c r="E1" s="1" t="s">
        <v>5</v>
      </c>
      <c r="F1" s="1" t="s">
        <v>24</v>
      </c>
      <c r="G1" s="1" t="s">
        <v>25</v>
      </c>
    </row>
    <row r="2" spans="1:7">
      <c r="A2" s="4" t="s">
        <v>8</v>
      </c>
      <c r="B2" s="4" t="s">
        <v>27</v>
      </c>
      <c r="C2" s="4" t="s">
        <v>30</v>
      </c>
      <c r="D2" s="4" t="s">
        <v>31</v>
      </c>
      <c r="E2" s="5">
        <v>650</v>
      </c>
      <c r="F2" s="1">
        <v>1</v>
      </c>
      <c r="G2" s="2">
        <f t="shared" ref="G2" si="0">E2*F2</f>
        <v>650</v>
      </c>
    </row>
    <row r="3" spans="1:7">
      <c r="A3" s="1" t="s">
        <v>8</v>
      </c>
      <c r="B3" s="1" t="s">
        <v>12</v>
      </c>
      <c r="C3" s="1" t="s">
        <v>32</v>
      </c>
      <c r="D3" s="1" t="s">
        <v>33</v>
      </c>
      <c r="E3" s="2">
        <v>600</v>
      </c>
      <c r="F3" s="1">
        <v>1</v>
      </c>
      <c r="G3" s="2">
        <f>E3*F3</f>
        <v>600</v>
      </c>
    </row>
    <row r="4" spans="1:7">
      <c r="A4" s="1" t="s">
        <v>8</v>
      </c>
      <c r="B4" s="1" t="s">
        <v>27</v>
      </c>
      <c r="C4" s="1" t="s">
        <v>36</v>
      </c>
      <c r="D4" s="1" t="s">
        <v>37</v>
      </c>
      <c r="E4" s="2">
        <v>269</v>
      </c>
      <c r="F4" s="1">
        <v>1</v>
      </c>
      <c r="G4" s="2">
        <f>E4*F4</f>
        <v>269</v>
      </c>
    </row>
    <row r="5" spans="1:7">
      <c r="A5" s="4"/>
      <c r="B5" s="4"/>
      <c r="C5" s="4"/>
      <c r="D5" s="4"/>
      <c r="E5" s="5"/>
      <c r="F5" s="4"/>
      <c r="G5" s="5">
        <f>E5*F5</f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ayfa4"/>
  <dimension ref="A1:X107"/>
  <sheetViews>
    <sheetView tabSelected="1" zoomScale="90" zoomScaleNormal="90" workbookViewId="0">
      <selection activeCell="J10" sqref="J10"/>
    </sheetView>
  </sheetViews>
  <sheetFormatPr defaultRowHeight="18.75"/>
  <cols>
    <col min="1" max="1" width="16.140625" style="6" customWidth="1"/>
    <col min="2" max="2" width="15.42578125" style="6" customWidth="1"/>
    <col min="3" max="3" width="49.28515625" style="6" bestFit="1" customWidth="1"/>
    <col min="4" max="4" width="17.42578125" style="6" customWidth="1"/>
    <col min="5" max="5" width="17.42578125" style="10" customWidth="1"/>
    <col min="6" max="6" width="17.42578125" style="6" customWidth="1"/>
    <col min="7" max="7" width="18.5703125" style="10" customWidth="1"/>
    <col min="8" max="8" width="20.85546875" style="6" customWidth="1"/>
    <col min="9" max="9" width="12.7109375" style="10" customWidth="1"/>
    <col min="10" max="23" width="9.140625" style="6"/>
    <col min="24" max="24" width="12.42578125" style="6" bestFit="1" customWidth="1"/>
    <col min="25" max="16384" width="9.140625" style="6"/>
  </cols>
  <sheetData>
    <row r="1" spans="1:24" ht="45.75" customHeight="1">
      <c r="A1" s="6" t="s">
        <v>17</v>
      </c>
      <c r="B1" s="6" t="s">
        <v>1</v>
      </c>
      <c r="C1" s="6" t="s">
        <v>0</v>
      </c>
      <c r="D1" s="6" t="s">
        <v>2</v>
      </c>
      <c r="E1" s="10" t="s">
        <v>3</v>
      </c>
      <c r="F1" s="6" t="s">
        <v>4</v>
      </c>
      <c r="G1" s="6" t="s">
        <v>5</v>
      </c>
      <c r="H1" s="9" t="s">
        <v>34</v>
      </c>
      <c r="I1" s="11" t="s">
        <v>35</v>
      </c>
      <c r="X1" s="1" t="s">
        <v>8</v>
      </c>
    </row>
    <row r="2" spans="1:24">
      <c r="A2" s="7" t="str">
        <f>IFERROR(URUN_KAYIT6[[#This Row],[Kategori]],"")</f>
        <v>KAYIT CİHAZI</v>
      </c>
      <c r="B2" s="7" t="str">
        <f>IFERROR(URUN_KAYIT6[[#This Row],[Ürün Kodu]],"")</f>
        <v>BLW 4404</v>
      </c>
      <c r="C2" s="7" t="str">
        <f>IFERROR(VLOOKUP(B2,ALIŞ!B:C,2,0),"")</f>
        <v>BULLWARK 4 KANAL DVR</v>
      </c>
      <c r="D2" s="7">
        <f>IFERROR(SUMIF(ALIŞ!$B:$B,STOK!$B:$B,ALIŞ!$F:$F),"")</f>
        <v>1</v>
      </c>
      <c r="E2" s="10">
        <f>IFERROR(SUMIF(ALIŞ!$B:$B,STOK!$B:$B,ALIŞ!$G:$G),"")</f>
        <v>458</v>
      </c>
      <c r="F2" s="7">
        <f>IFERROR(SUMIF(SATIŞ!$B:$B,STOK!$B:$B,SATIŞ!$F:$F)," " )</f>
        <v>1</v>
      </c>
      <c r="G2" s="10">
        <f>IFERROR(SUMIF(SATIŞ!$B:$B,STOK!$B:$B,SATIŞ!$G:$G),"")</f>
        <v>600</v>
      </c>
      <c r="H2" s="8">
        <f t="shared" ref="H2:H33" si="0">IFERROR(D2-F2," ")</f>
        <v>0</v>
      </c>
      <c r="I2" s="11">
        <f t="shared" ref="I2:I33" si="1">IFERROR(G2-E2," ")</f>
        <v>142</v>
      </c>
      <c r="X2" s="1" t="s">
        <v>16</v>
      </c>
    </row>
    <row r="3" spans="1:24">
      <c r="A3" s="7" t="str">
        <f>IFERROR(URUN_KAYIT6[[#This Row],[Kategori]],"")</f>
        <v>KAYIT CİHAZI</v>
      </c>
      <c r="B3" s="7" t="str">
        <f>IFERROR(URUN_KAYIT6[[#This Row],[Ürün Kodu]],"")</f>
        <v>VG 4004</v>
      </c>
      <c r="C3" s="7" t="str">
        <f>IFERROR(VLOOKUP(B3,ALIŞ!B:C,2,0),"")</f>
        <v>VGUARD 4 KANAL DVR</v>
      </c>
      <c r="D3" s="7">
        <f>IFERROR(SUMIF(ALIŞ!$B:$B,STOK!$B:$B,ALIŞ!$F:$F),"")</f>
        <v>1</v>
      </c>
      <c r="E3" s="10">
        <f>IFERROR(SUMIF(ALIŞ!$B:$B,STOK!$B:$B,ALIŞ!$G:$G),"")</f>
        <v>462</v>
      </c>
      <c r="F3" s="7">
        <f>IFERROR(SUMIF(SATIŞ!$B:$B,STOK!$B:$B,SATIŞ!$F:$F)," " )</f>
        <v>0</v>
      </c>
      <c r="G3" s="10">
        <f>IFERROR(SUMIF(SATIŞ!$B:$B,STOK!$B:$B,SATIŞ!$G:$G),"")</f>
        <v>0</v>
      </c>
      <c r="H3" s="8">
        <f t="shared" si="0"/>
        <v>1</v>
      </c>
      <c r="I3" s="11">
        <f t="shared" si="1"/>
        <v>-462</v>
      </c>
      <c r="X3" s="1" t="s">
        <v>18</v>
      </c>
    </row>
    <row r="4" spans="1:24">
      <c r="A4" s="7" t="str">
        <f>IFERROR(URUN_KAYIT6[[#This Row],[Kategori]],"")</f>
        <v>KAYIT CİHAZI</v>
      </c>
      <c r="B4" s="7" t="str">
        <f>IFERROR(URUN_KAYIT6[[#This Row],[Ürün Kodu]],"")</f>
        <v>BLW 521</v>
      </c>
      <c r="C4" s="7" t="str">
        <f>IFERROR(VLOOKUP(B4,ALIŞ!B:C,2,0),"")</f>
        <v>BULLWARK DOME KAMERA 2 MP 2,8MM</v>
      </c>
      <c r="D4" s="7">
        <f>IFERROR(SUMIF(ALIŞ!$B:$B,STOK!$B:$B,ALIŞ!$F:$F),"")</f>
        <v>1</v>
      </c>
      <c r="E4" s="10">
        <f>IFERROR(SUMIF(ALIŞ!$B:$B,STOK!$B:$B,ALIŞ!$G:$G),"")</f>
        <v>245</v>
      </c>
      <c r="F4" s="7">
        <f>IFERROR(SUMIF(SATIŞ!$B:$B,STOK!$B:$B,SATIŞ!$F:$F)," " )</f>
        <v>0</v>
      </c>
      <c r="G4" s="10">
        <f>IFERROR(SUMIF(SATIŞ!$B:$B,STOK!$B:$B,SATIŞ!$G:$G),"")</f>
        <v>0</v>
      </c>
      <c r="H4" s="8">
        <f t="shared" si="0"/>
        <v>1</v>
      </c>
      <c r="I4" s="11">
        <f t="shared" si="1"/>
        <v>-245</v>
      </c>
      <c r="X4" s="1" t="s">
        <v>19</v>
      </c>
    </row>
    <row r="5" spans="1:24">
      <c r="A5" s="7" t="str">
        <f>IFERROR(URUN_KAYIT6[[#This Row],[Kategori]],"")</f>
        <v>KAYIT CİHAZI</v>
      </c>
      <c r="B5" s="7" t="str">
        <f>IFERROR(URUN_KAYIT6[[#This Row],[Ürün Kodu]],"")</f>
        <v>HA 4008</v>
      </c>
      <c r="C5" s="7" t="str">
        <f>IFERROR(VLOOKUP(B5,ALIŞ!B:C,2,0),"")</f>
        <v>Haikon 8 Kanal Kayıt Cihazı</v>
      </c>
      <c r="D5" s="7">
        <f>IFERROR(SUMIF(ALIŞ!$B:$B,STOK!$B:$B,ALIŞ!$F:$F),"")</f>
        <v>2</v>
      </c>
      <c r="E5" s="10">
        <f>IFERROR(SUMIF(ALIŞ!$B:$B,STOK!$B:$B,ALIŞ!$G:$G),"")</f>
        <v>298</v>
      </c>
      <c r="F5" s="7">
        <f>IFERROR(SUMIF(SATIŞ!$B:$B,STOK!$B:$B,SATIŞ!$F:$F)," " )</f>
        <v>2</v>
      </c>
      <c r="G5" s="10">
        <f>IFERROR(SUMIF(SATIŞ!$B:$B,STOK!$B:$B,SATIŞ!$G:$G),"")</f>
        <v>919</v>
      </c>
      <c r="H5" s="8">
        <f t="shared" si="0"/>
        <v>0</v>
      </c>
      <c r="I5" s="11">
        <f t="shared" si="1"/>
        <v>621</v>
      </c>
      <c r="X5" s="1" t="s">
        <v>20</v>
      </c>
    </row>
    <row r="6" spans="1:24">
      <c r="A6" s="7" t="str">
        <f>IFERROR(URUN_KAYIT6[[#This Row],[Kategori]],"")</f>
        <v xml:space="preserve">KAMERA </v>
      </c>
      <c r="B6" s="7" t="str">
        <f>IFERROR(URUN_KAYIT6[[#This Row],[Ürün Kodu]],"")</f>
        <v>vg 652</v>
      </c>
      <c r="C6" s="7"/>
      <c r="D6" s="7">
        <f>IFERROR(SUMIF(ALIŞ!$B:$B,STOK!$B:$B,ALIŞ!$F:$F),"")</f>
        <v>2</v>
      </c>
      <c r="E6" s="10">
        <f>IFERROR(SUMIF(ALIŞ!$B:$B,STOK!$B:$B,ALIŞ!$G:$G),"")</f>
        <v>600</v>
      </c>
      <c r="F6" s="7">
        <f>IFERROR(SUMIF(SATIŞ!$B:$B,STOK!$B:$B,SATIŞ!$F:$F)," " )</f>
        <v>0</v>
      </c>
      <c r="G6" s="10">
        <f>IFERROR(SUMIF(SATIŞ!$B:$B,STOK!$B:$B,SATIŞ!$G:$G),"")</f>
        <v>0</v>
      </c>
      <c r="H6" s="8">
        <f t="shared" si="0"/>
        <v>2</v>
      </c>
      <c r="I6" s="11">
        <f t="shared" si="1"/>
        <v>-600</v>
      </c>
      <c r="X6" s="1" t="s">
        <v>21</v>
      </c>
    </row>
    <row r="7" spans="1:24">
      <c r="A7" s="7" t="str">
        <f>IFERROR(URUN_KAYIT6[[#This Row],[Kategori]],"")</f>
        <v>HARDDISK</v>
      </c>
      <c r="B7" s="7" t="str">
        <f>IFERROR(URUN_KAYIT6[[#This Row],[Ürün Kodu]],"")</f>
        <v>3,5"</v>
      </c>
      <c r="C7" s="7"/>
      <c r="D7" s="7">
        <f>IFERROR(SUMIF(ALIŞ!$B:$B,STOK!$B:$B,ALIŞ!$F:$F),"")</f>
        <v>1</v>
      </c>
      <c r="E7" s="10">
        <f>IFERROR(SUMIF(ALIŞ!$B:$B,STOK!$B:$B,ALIŞ!$G:$G),"")</f>
        <v>265</v>
      </c>
      <c r="F7" s="7">
        <f>IFERROR(SUMIF(SATIŞ!$B:$B,STOK!$B:$B,SATIŞ!$F:$F)," " )</f>
        <v>0</v>
      </c>
      <c r="G7" s="10">
        <f>IFERROR(SUMIF(SATIŞ!$B:$B,STOK!$B:$B,SATIŞ!$G:$G),"")</f>
        <v>0</v>
      </c>
      <c r="H7" s="8">
        <f t="shared" si="0"/>
        <v>1</v>
      </c>
      <c r="I7" s="11">
        <f t="shared" si="1"/>
        <v>-265</v>
      </c>
      <c r="X7" s="1" t="s">
        <v>22</v>
      </c>
    </row>
    <row r="8" spans="1:24">
      <c r="A8" s="7" t="str">
        <f>IFERROR(URUN_KAYIT6[[#This Row],[Kategori]],"")</f>
        <v>HARDDISK</v>
      </c>
      <c r="B8" s="7" t="str">
        <f>IFERROR(URUN_KAYIT6[[#This Row],[Ürün Kodu]],"")</f>
        <v>2,5"</v>
      </c>
      <c r="C8" s="7" t="str">
        <f>IFERROR(VLOOKUP(B8,ALIŞ!B:C,2,0),"")</f>
        <v>Western Digital</v>
      </c>
      <c r="D8" s="7">
        <f>IFERROR(SUMIF(ALIŞ!$B:$B,STOK!$B:$B,ALIŞ!$F:$F),"")</f>
        <v>1</v>
      </c>
      <c r="E8" s="10">
        <f>IFERROR(SUMIF(ALIŞ!$B:$B,STOK!$B:$B,ALIŞ!$G:$G),"")</f>
        <v>221</v>
      </c>
      <c r="F8" s="7">
        <f>IFERROR(SUMIF(SATIŞ!$B:$B,STOK!$B:$B,SATIŞ!$F:$F)," " )</f>
        <v>0</v>
      </c>
      <c r="G8" s="10">
        <f>IFERROR(SUMIF(SATIŞ!$B:$B,STOK!$B:$B,SATIŞ!$G:$G),"")</f>
        <v>0</v>
      </c>
      <c r="H8" s="8">
        <f t="shared" si="0"/>
        <v>1</v>
      </c>
      <c r="I8" s="11">
        <f t="shared" si="1"/>
        <v>-221</v>
      </c>
      <c r="X8" s="1" t="s">
        <v>23</v>
      </c>
    </row>
    <row r="9" spans="1:24">
      <c r="A9" s="7" t="str">
        <f>IFERROR(URUN_KAYIT6[[#This Row],[Kategori]],"")</f>
        <v xml:space="preserve">KABLO </v>
      </c>
      <c r="B9" s="7" t="str">
        <f>IFERROR(URUN_KAYIT6[[#This Row],[Ürün Kodu]],"")</f>
        <v>UTP Cat6</v>
      </c>
      <c r="C9" s="7" t="str">
        <f>IFERROR(VLOOKUP(B9,ALIŞ!B:C,2,0),"")</f>
        <v>Nexans Cat6 Kablo</v>
      </c>
      <c r="D9" s="7">
        <f>IFERROR(SUMIF(ALIŞ!$B:$B,STOK!$B:$B,ALIŞ!$F:$F),"")</f>
        <v>305</v>
      </c>
      <c r="E9" s="10">
        <f>IFERROR(SUMIF(ALIŞ!$B:$B,STOK!$B:$B,ALIŞ!$G:$G),"")</f>
        <v>678625</v>
      </c>
      <c r="F9" s="7">
        <f>IFERROR(SUMIF(SATIŞ!$B:$B,STOK!$B:$B,SATIŞ!$F:$F)," " )</f>
        <v>0</v>
      </c>
      <c r="G9" s="10">
        <f>IFERROR(SUMIF(SATIŞ!$B:$B,STOK!$B:$B,SATIŞ!$G:$G),"")</f>
        <v>0</v>
      </c>
      <c r="H9" s="8">
        <f t="shared" si="0"/>
        <v>305</v>
      </c>
      <c r="I9" s="11">
        <f t="shared" si="1"/>
        <v>-678625</v>
      </c>
    </row>
    <row r="10" spans="1:24">
      <c r="A10" s="7" t="str">
        <f>IFERROR(URUN_KAYIT6[[#This Row],[Kategori]],"")</f>
        <v>JAK</v>
      </c>
      <c r="B10" s="7" t="str">
        <f>IFERROR(URUN_KAYIT6[[#This Row],[Ürün Kodu]],"")</f>
        <v>bnc</v>
      </c>
      <c r="C10" s="7" t="str">
        <f>IFERROR(VLOOKUP(B10,ALIŞ!B:C,2,0),"")</f>
        <v>sv</v>
      </c>
      <c r="D10" s="7">
        <f>IFERROR(SUMIF(ALIŞ!$B:$B,STOK!$B:$B,ALIŞ!$F:$F),"")</f>
        <v>7</v>
      </c>
      <c r="E10" s="10">
        <f>IFERROR(SUMIF(ALIŞ!$B:$B,STOK!$B:$B,ALIŞ!$G:$G),"")</f>
        <v>161</v>
      </c>
      <c r="F10" s="7">
        <f>IFERROR(SUMIF(SATIŞ!$B:$B,STOK!$B:$B,SATIŞ!$F:$F)," " )</f>
        <v>0</v>
      </c>
      <c r="G10" s="10">
        <f>IFERROR(SUMIF(SATIŞ!$B:$B,STOK!$B:$B,SATIŞ!$G:$G),"")</f>
        <v>0</v>
      </c>
      <c r="H10" s="8">
        <f t="shared" si="0"/>
        <v>7</v>
      </c>
      <c r="I10" s="11">
        <f t="shared" si="1"/>
        <v>-161</v>
      </c>
    </row>
    <row r="11" spans="1:24">
      <c r="A11" s="7" t="str">
        <f>IFERROR(URUN_KAYIT6[[#This Row],[Kategori]],"")</f>
        <v>HARDDISK</v>
      </c>
      <c r="B11" s="7" t="str">
        <f>IFERROR(URUN_KAYIT6[[#This Row],[Ürün Kodu]],"")</f>
        <v>mh</v>
      </c>
      <c r="C11" s="7" t="str">
        <f>IFERROR(VLOOKUP(B11,ALIŞ!B:C,2,0),"")</f>
        <v>mh</v>
      </c>
      <c r="D11" s="7">
        <f>IFERROR(SUMIF(ALIŞ!$B:$B,STOK!$B:$B,ALIŞ!$F:$F),"")</f>
        <v>1</v>
      </c>
      <c r="E11" s="10">
        <f>IFERROR(SUMIF(ALIŞ!$B:$B,STOK!$B:$B,ALIŞ!$G:$G),"")</f>
        <v>561</v>
      </c>
      <c r="F11" s="7">
        <f>IFERROR(SUMIF(SATIŞ!$B:$B,STOK!$B:$B,SATIŞ!$F:$F)," " )</f>
        <v>0</v>
      </c>
      <c r="G11" s="10">
        <f>IFERROR(SUMIF(SATIŞ!$B:$B,STOK!$B:$B,SATIŞ!$G:$G),"")</f>
        <v>0</v>
      </c>
      <c r="H11" s="8">
        <f t="shared" si="0"/>
        <v>1</v>
      </c>
      <c r="I11" s="11">
        <f t="shared" si="1"/>
        <v>-561</v>
      </c>
    </row>
    <row r="12" spans="1:24">
      <c r="A12" s="7" t="str">
        <f>IFERROR(URUN_KAYIT6[[#This Row],[Kategori]],"")</f>
        <v/>
      </c>
      <c r="B12" s="7" t="str">
        <f>IFERROR(URUN_KAYIT6[[#This Row],[Ürün Kodu]],"")</f>
        <v/>
      </c>
      <c r="C12" s="7" t="str">
        <f>IFERROR(VLOOKUP(B12,ALIŞ!B:C,2,0),"")</f>
        <v/>
      </c>
      <c r="D12" s="7">
        <f>IFERROR(SUMIF(ALIŞ!$B:$B,STOK!$B:$B,ALIŞ!$F:$F),"")</f>
        <v>0</v>
      </c>
      <c r="E12" s="10">
        <f>IFERROR(SUMIF(ALIŞ!$B:$B,STOK!$B:$B,ALIŞ!$G:$G),"")</f>
        <v>0</v>
      </c>
      <c r="F12" s="7">
        <f>IFERROR(SUMIF(SATIŞ!$B:$B,STOK!$B:$B,SATIŞ!$F:$F)," " )</f>
        <v>0</v>
      </c>
      <c r="G12" s="10">
        <f>IFERROR(SUMIF(SATIŞ!$B:$B,STOK!$B:$B,SATIŞ!$G:$G),"")</f>
        <v>0</v>
      </c>
      <c r="H12" s="8">
        <f t="shared" si="0"/>
        <v>0</v>
      </c>
      <c r="I12" s="11">
        <f t="shared" si="1"/>
        <v>0</v>
      </c>
    </row>
    <row r="13" spans="1:24">
      <c r="A13" s="7" t="str">
        <f>IFERROR(URUN_KAYIT6[[#This Row],[Kategori]],"")</f>
        <v/>
      </c>
      <c r="B13" s="7" t="str">
        <f>IFERROR(URUN_KAYIT6[[#This Row],[Ürün Kodu]],"")</f>
        <v/>
      </c>
      <c r="C13" s="7" t="str">
        <f>IFERROR(VLOOKUP(B13,ALIŞ!B:C,2,0),"")</f>
        <v/>
      </c>
      <c r="D13" s="7">
        <f>IFERROR(SUMIF(ALIŞ!$B:$B,STOK!$B:$B,ALIŞ!$F:$F),"")</f>
        <v>0</v>
      </c>
      <c r="E13" s="10">
        <f>IFERROR(SUMIF(ALIŞ!$B:$B,STOK!$B:$B,ALIŞ!$G:$G),"")</f>
        <v>0</v>
      </c>
      <c r="F13" s="7">
        <f>IFERROR(SUMIF(SATIŞ!$B:$B,STOK!$B:$B,SATIŞ!$F:$F)," " )</f>
        <v>0</v>
      </c>
      <c r="G13" s="10">
        <f>IFERROR(SUMIF(SATIŞ!$B:$B,STOK!$B:$B,SATIŞ!$G:$G),"")</f>
        <v>0</v>
      </c>
      <c r="H13" s="8">
        <f t="shared" si="0"/>
        <v>0</v>
      </c>
      <c r="I13" s="11">
        <f t="shared" si="1"/>
        <v>0</v>
      </c>
    </row>
    <row r="14" spans="1:24">
      <c r="A14" s="7" t="str">
        <f>IFERROR(URUN_KAYIT6[[#This Row],[Kategori]],"")</f>
        <v/>
      </c>
      <c r="B14" s="7" t="str">
        <f>IFERROR(URUN_KAYIT6[[#This Row],[Ürün Kodu]],"")</f>
        <v/>
      </c>
      <c r="C14" s="7" t="str">
        <f>IFERROR(VLOOKUP(B14,ALIŞ!B:C,2,0),"")</f>
        <v/>
      </c>
      <c r="D14" s="7">
        <f>IFERROR(SUMIF(ALIŞ!$B:$B,STOK!$B:$B,ALIŞ!$F:$F),"")</f>
        <v>0</v>
      </c>
      <c r="E14" s="10">
        <f>IFERROR(SUMIF(ALIŞ!$B:$B,STOK!$B:$B,ALIŞ!$G:$G),"")</f>
        <v>0</v>
      </c>
      <c r="F14" s="7">
        <f>IFERROR(SUMIF(SATIŞ!$B:$B,STOK!$B:$B,SATIŞ!$F:$F)," " )</f>
        <v>0</v>
      </c>
      <c r="G14" s="10">
        <f>IFERROR(SUMIF(SATIŞ!$B:$B,STOK!$B:$B,SATIŞ!$G:$G),"")</f>
        <v>0</v>
      </c>
      <c r="H14" s="8">
        <f t="shared" si="0"/>
        <v>0</v>
      </c>
      <c r="I14" s="11">
        <f t="shared" si="1"/>
        <v>0</v>
      </c>
    </row>
    <row r="15" spans="1:24">
      <c r="A15" s="7" t="str">
        <f>IFERROR(URUN_KAYIT6[[#This Row],[Kategori]],"")</f>
        <v/>
      </c>
      <c r="B15" s="7" t="str">
        <f>IFERROR(URUN_KAYIT6[[#This Row],[Ürün Kodu]],"")</f>
        <v/>
      </c>
      <c r="C15" s="7" t="str">
        <f>IFERROR(VLOOKUP(B15,ALIŞ!B:C,2,0),"")</f>
        <v/>
      </c>
      <c r="D15" s="7">
        <f>IFERROR(SUMIF(ALIŞ!$B:$B,STOK!$B:$B,ALIŞ!$F:$F),"")</f>
        <v>0</v>
      </c>
      <c r="E15" s="10">
        <f>IFERROR(SUMIF(ALIŞ!$B:$B,STOK!$B:$B,ALIŞ!$G:$G),"")</f>
        <v>0</v>
      </c>
      <c r="F15" s="7">
        <f>IFERROR(SUMIF(SATIŞ!$B:$B,STOK!$B:$B,SATIŞ!$F:$F)," " )</f>
        <v>0</v>
      </c>
      <c r="G15" s="10">
        <f>IFERROR(SUMIF(SATIŞ!$B:$B,STOK!$B:$B,SATIŞ!$G:$G),"")</f>
        <v>0</v>
      </c>
      <c r="H15" s="8">
        <f t="shared" si="0"/>
        <v>0</v>
      </c>
      <c r="I15" s="11">
        <f t="shared" si="1"/>
        <v>0</v>
      </c>
    </row>
    <row r="16" spans="1:24">
      <c r="A16" s="7" t="str">
        <f>IFERROR(URUN_KAYIT6[[#This Row],[Kategori]],"")</f>
        <v/>
      </c>
      <c r="B16" s="7" t="str">
        <f>IFERROR(URUN_KAYIT6[[#This Row],[Ürün Kodu]],"")</f>
        <v/>
      </c>
      <c r="C16" s="7" t="str">
        <f>IFERROR(VLOOKUP(B16,ALIŞ!B:C,2,0),"")</f>
        <v/>
      </c>
      <c r="D16" s="7">
        <f>IFERROR(SUMIF(ALIŞ!$B:$B,STOK!$B:$B,ALIŞ!$F:$F),"")</f>
        <v>0</v>
      </c>
      <c r="E16" s="10">
        <f>IFERROR(SUMIF(ALIŞ!$B:$B,STOK!$B:$B,ALIŞ!$G:$G),"")</f>
        <v>0</v>
      </c>
      <c r="F16" s="7">
        <f>IFERROR(SUMIF(SATIŞ!$B:$B,STOK!$B:$B,SATIŞ!$F:$F)," " )</f>
        <v>0</v>
      </c>
      <c r="G16" s="10">
        <f>IFERROR(SUMIF(SATIŞ!$B:$B,STOK!$B:$B,SATIŞ!$G:$G),"")</f>
        <v>0</v>
      </c>
      <c r="H16" s="8">
        <f t="shared" si="0"/>
        <v>0</v>
      </c>
      <c r="I16" s="11">
        <f t="shared" si="1"/>
        <v>0</v>
      </c>
    </row>
    <row r="17" spans="1:9">
      <c r="A17" s="7" t="str">
        <f>IFERROR(URUN_KAYIT6[[#This Row],[Kategori]],"")</f>
        <v/>
      </c>
      <c r="B17" s="7" t="str">
        <f>IFERROR(URUN_KAYIT6[[#This Row],[Ürün Kodu]],"")</f>
        <v/>
      </c>
      <c r="C17" s="7" t="str">
        <f>IFERROR(VLOOKUP(B17,ALIŞ!B:C,2,0),"")</f>
        <v/>
      </c>
      <c r="D17" s="7">
        <f>IFERROR(SUMIF(ALIŞ!$B:$B,STOK!$B:$B,ALIŞ!$F:$F),"")</f>
        <v>0</v>
      </c>
      <c r="E17" s="10">
        <f>IFERROR(SUMIF(ALIŞ!$B:$B,STOK!$B:$B,ALIŞ!$G:$G),"")</f>
        <v>0</v>
      </c>
      <c r="F17" s="7">
        <f>IFERROR(SUMIF(SATIŞ!$B:$B,STOK!$B:$B,SATIŞ!$F:$F)," " )</f>
        <v>0</v>
      </c>
      <c r="G17" s="10">
        <f>IFERROR(SUMIF(SATIŞ!$B:$B,STOK!$B:$B,SATIŞ!$G:$G),"")</f>
        <v>0</v>
      </c>
      <c r="H17" s="8">
        <f t="shared" si="0"/>
        <v>0</v>
      </c>
      <c r="I17" s="11">
        <f t="shared" si="1"/>
        <v>0</v>
      </c>
    </row>
    <row r="18" spans="1:9">
      <c r="A18" s="7" t="str">
        <f>IFERROR(URUN_KAYIT6[[#This Row],[Kategori]],"")</f>
        <v/>
      </c>
      <c r="B18" s="7" t="str">
        <f>IFERROR(URUN_KAYIT6[[#This Row],[Ürün Kodu]],"")</f>
        <v/>
      </c>
      <c r="C18" s="7" t="str">
        <f>IFERROR(VLOOKUP(B18,ALIŞ!B:C,2,0),"")</f>
        <v/>
      </c>
      <c r="D18" s="7">
        <f>IFERROR(SUMIF(ALIŞ!$B:$B,STOK!$B:$B,ALIŞ!$F:$F),"")</f>
        <v>0</v>
      </c>
      <c r="E18" s="10">
        <f>IFERROR(SUMIF(ALIŞ!$B:$B,STOK!$B:$B,ALIŞ!$G:$G),"")</f>
        <v>0</v>
      </c>
      <c r="F18" s="7">
        <f>IFERROR(SUMIF(SATIŞ!$B:$B,STOK!$B:$B,SATIŞ!$F:$F)," " )</f>
        <v>0</v>
      </c>
      <c r="G18" s="10">
        <f>IFERROR(SUMIF(SATIŞ!$B:$B,STOK!$B:$B,SATIŞ!$G:$G),"")</f>
        <v>0</v>
      </c>
      <c r="H18" s="8">
        <f t="shared" si="0"/>
        <v>0</v>
      </c>
      <c r="I18" s="11">
        <f t="shared" si="1"/>
        <v>0</v>
      </c>
    </row>
    <row r="19" spans="1:9">
      <c r="A19" s="7" t="str">
        <f>IFERROR(URUN_KAYIT6[[#This Row],[Kategori]],"")</f>
        <v/>
      </c>
      <c r="B19" s="7" t="str">
        <f>IFERROR(URUN_KAYIT6[[#This Row],[Ürün Kodu]],"")</f>
        <v/>
      </c>
      <c r="C19" s="7" t="str">
        <f>IFERROR(VLOOKUP(B19,ALIŞ!B:C,2,0),"")</f>
        <v/>
      </c>
      <c r="D19" s="7">
        <f>IFERROR(SUMIF(ALIŞ!$B:$B,STOK!$B:$B,ALIŞ!$F:$F),"")</f>
        <v>0</v>
      </c>
      <c r="E19" s="10">
        <f>IFERROR(SUMIF(ALIŞ!$B:$B,STOK!$B:$B,ALIŞ!$G:$G),"")</f>
        <v>0</v>
      </c>
      <c r="F19" s="7">
        <f>IFERROR(SUMIF(SATIŞ!$B:$B,STOK!$B:$B,SATIŞ!$F:$F)," " )</f>
        <v>0</v>
      </c>
      <c r="G19" s="10">
        <f>IFERROR(SUMIF(SATIŞ!$B:$B,STOK!$B:$B,SATIŞ!$G:$G),"")</f>
        <v>0</v>
      </c>
      <c r="H19" s="8">
        <f t="shared" si="0"/>
        <v>0</v>
      </c>
      <c r="I19" s="11">
        <f t="shared" si="1"/>
        <v>0</v>
      </c>
    </row>
    <row r="20" spans="1:9">
      <c r="A20" s="7" t="str">
        <f>IFERROR(URUN_KAYIT6[[#This Row],[Kategori]],"")</f>
        <v/>
      </c>
      <c r="B20" s="7" t="str">
        <f>IFERROR(URUN_KAYIT6[[#This Row],[Ürün Kodu]],"")</f>
        <v/>
      </c>
      <c r="C20" s="7" t="str">
        <f>IFERROR(VLOOKUP(B20,ALIŞ!B:C,2,0),"")</f>
        <v/>
      </c>
      <c r="D20" s="7">
        <f>IFERROR(SUMIF(ALIŞ!$B:$B,STOK!$B:$B,ALIŞ!$F:$F),"")</f>
        <v>0</v>
      </c>
      <c r="E20" s="10">
        <f>IFERROR(SUMIF(ALIŞ!$B:$B,STOK!$B:$B,ALIŞ!$G:$G),"")</f>
        <v>0</v>
      </c>
      <c r="F20" s="7">
        <f>IFERROR(SUMIF(SATIŞ!$B:$B,STOK!$B:$B,SATIŞ!$F:$F)," " )</f>
        <v>0</v>
      </c>
      <c r="G20" s="10">
        <f>IFERROR(SUMIF(SATIŞ!$B:$B,STOK!$B:$B,SATIŞ!$G:$G),"")</f>
        <v>0</v>
      </c>
      <c r="H20" s="8">
        <f t="shared" si="0"/>
        <v>0</v>
      </c>
      <c r="I20" s="11">
        <f t="shared" si="1"/>
        <v>0</v>
      </c>
    </row>
    <row r="21" spans="1:9">
      <c r="A21" s="7" t="str">
        <f>IFERROR(URUN_KAYIT6[[#This Row],[Kategori]],"")</f>
        <v/>
      </c>
      <c r="B21" s="7" t="str">
        <f>IFERROR(URUN_KAYIT6[[#This Row],[Ürün Kodu]],"")</f>
        <v/>
      </c>
      <c r="C21" s="7" t="str">
        <f>IFERROR(VLOOKUP(B21,ALIŞ!B:C,2,0),"")</f>
        <v/>
      </c>
      <c r="D21" s="7">
        <f>IFERROR(SUMIF(ALIŞ!$B:$B,STOK!$B:$B,ALIŞ!$F:$F),"")</f>
        <v>0</v>
      </c>
      <c r="E21" s="10">
        <f>IFERROR(SUMIF(ALIŞ!$B:$B,STOK!$B:$B,ALIŞ!$G:$G),"")</f>
        <v>0</v>
      </c>
      <c r="F21" s="7">
        <f>IFERROR(SUMIF(SATIŞ!$B:$B,STOK!$B:$B,SATIŞ!$F:$F)," " )</f>
        <v>0</v>
      </c>
      <c r="G21" s="10">
        <f>IFERROR(SUMIF(SATIŞ!$B:$B,STOK!$B:$B,SATIŞ!$G:$G),"")</f>
        <v>0</v>
      </c>
      <c r="H21" s="8">
        <f t="shared" si="0"/>
        <v>0</v>
      </c>
      <c r="I21" s="11">
        <f t="shared" si="1"/>
        <v>0</v>
      </c>
    </row>
    <row r="22" spans="1:9">
      <c r="A22" s="7" t="str">
        <f>IFERROR(URUN_KAYIT6[[#This Row],[Kategori]],"")</f>
        <v/>
      </c>
      <c r="B22" s="7" t="str">
        <f>IFERROR(URUN_KAYIT6[[#This Row],[Ürün Kodu]],"")</f>
        <v/>
      </c>
      <c r="C22" s="7" t="str">
        <f>IFERROR(VLOOKUP(B22,ALIŞ!B:C,2,0),"")</f>
        <v/>
      </c>
      <c r="D22" s="7">
        <f>IFERROR(SUMIF(ALIŞ!$B:$B,STOK!$B:$B,ALIŞ!$F:$F),"")</f>
        <v>0</v>
      </c>
      <c r="E22" s="10">
        <f>IFERROR(SUMIF(ALIŞ!$B:$B,STOK!$B:$B,ALIŞ!$G:$G),"")</f>
        <v>0</v>
      </c>
      <c r="F22" s="7">
        <f>IFERROR(SUMIF(SATIŞ!$B:$B,STOK!$B:$B,SATIŞ!$F:$F)," " )</f>
        <v>0</v>
      </c>
      <c r="G22" s="10">
        <f>IFERROR(SUMIF(SATIŞ!$B:$B,STOK!$B:$B,SATIŞ!$G:$G),"")</f>
        <v>0</v>
      </c>
      <c r="H22" s="8">
        <f t="shared" si="0"/>
        <v>0</v>
      </c>
      <c r="I22" s="11">
        <f t="shared" si="1"/>
        <v>0</v>
      </c>
    </row>
    <row r="23" spans="1:9">
      <c r="A23" s="7" t="str">
        <f>IFERROR(URUN_KAYIT6[[#This Row],[Kategori]],"")</f>
        <v/>
      </c>
      <c r="B23" s="7" t="str">
        <f>IFERROR(URUN_KAYIT6[[#This Row],[Ürün Kodu]],"")</f>
        <v/>
      </c>
      <c r="C23" s="7" t="str">
        <f>IFERROR(VLOOKUP(B23,ALIŞ!B:C,2,0),"")</f>
        <v/>
      </c>
      <c r="D23" s="7">
        <f>IFERROR(SUMIF(ALIŞ!$B:$B,STOK!$B:$B,ALIŞ!$F:$F),"")</f>
        <v>0</v>
      </c>
      <c r="E23" s="10">
        <f>IFERROR(SUMIF(ALIŞ!$B:$B,STOK!$B:$B,ALIŞ!$G:$G),"")</f>
        <v>0</v>
      </c>
      <c r="F23" s="7">
        <f>IFERROR(SUMIF(SATIŞ!$B:$B,STOK!$B:$B,SATIŞ!$F:$F)," " )</f>
        <v>0</v>
      </c>
      <c r="G23" s="10">
        <f>IFERROR(SUMIF(SATIŞ!$B:$B,STOK!$B:$B,SATIŞ!$G:$G),"")</f>
        <v>0</v>
      </c>
      <c r="H23" s="8">
        <f t="shared" si="0"/>
        <v>0</v>
      </c>
      <c r="I23" s="11">
        <f t="shared" si="1"/>
        <v>0</v>
      </c>
    </row>
    <row r="24" spans="1:9">
      <c r="A24" s="7" t="str">
        <f>IFERROR(URUN_KAYIT6[[#This Row],[Kategori]],"")</f>
        <v/>
      </c>
      <c r="B24" s="7" t="str">
        <f>IFERROR(URUN_KAYIT6[[#This Row],[Ürün Kodu]],"")</f>
        <v/>
      </c>
      <c r="C24" s="7" t="str">
        <f>IFERROR(VLOOKUP(B24,ALIŞ!B:C,2,0),"")</f>
        <v/>
      </c>
      <c r="D24" s="7">
        <f>IFERROR(SUMIF(ALIŞ!$B:$B,STOK!$B:$B,ALIŞ!$F:$F),"")</f>
        <v>0</v>
      </c>
      <c r="E24" s="10">
        <f>IFERROR(SUMIF(ALIŞ!$B:$B,STOK!$B:$B,ALIŞ!$G:$G),"")</f>
        <v>0</v>
      </c>
      <c r="F24" s="7">
        <f>IFERROR(SUMIF(SATIŞ!$B:$B,STOK!$B:$B,SATIŞ!$F:$F)," " )</f>
        <v>0</v>
      </c>
      <c r="G24" s="10">
        <f>IFERROR(SUMIF(SATIŞ!$B:$B,STOK!$B:$B,SATIŞ!$G:$G),"")</f>
        <v>0</v>
      </c>
      <c r="H24" s="8">
        <f t="shared" si="0"/>
        <v>0</v>
      </c>
      <c r="I24" s="11">
        <f t="shared" si="1"/>
        <v>0</v>
      </c>
    </row>
    <row r="25" spans="1:9">
      <c r="A25" s="7" t="str">
        <f>IFERROR(URUN_KAYIT6[[#This Row],[Kategori]],"")</f>
        <v/>
      </c>
      <c r="B25" s="7" t="str">
        <f>IFERROR(URUN_KAYIT6[[#This Row],[Ürün Kodu]],"")</f>
        <v/>
      </c>
      <c r="C25" s="7" t="str">
        <f>IFERROR(VLOOKUP(B25,ALIŞ!B:C,2,0),"")</f>
        <v/>
      </c>
      <c r="D25" s="7">
        <f>IFERROR(SUMIF(ALIŞ!$B:$B,STOK!$B:$B,ALIŞ!$F:$F),"")</f>
        <v>0</v>
      </c>
      <c r="E25" s="10">
        <f>IFERROR(SUMIF(ALIŞ!$B:$B,STOK!$B:$B,ALIŞ!$G:$G),"")</f>
        <v>0</v>
      </c>
      <c r="F25" s="7">
        <f>IFERROR(SUMIF(SATIŞ!$B:$B,STOK!$B:$B,SATIŞ!$F:$F)," " )</f>
        <v>0</v>
      </c>
      <c r="G25" s="10">
        <f>IFERROR(SUMIF(SATIŞ!$B:$B,STOK!$B:$B,SATIŞ!$G:$G),"")</f>
        <v>0</v>
      </c>
      <c r="H25" s="8">
        <f t="shared" si="0"/>
        <v>0</v>
      </c>
      <c r="I25" s="11">
        <f t="shared" si="1"/>
        <v>0</v>
      </c>
    </row>
    <row r="26" spans="1:9">
      <c r="A26" s="7" t="str">
        <f>IFERROR(URUN_KAYIT6[[#This Row],[Kategori]],"")</f>
        <v/>
      </c>
      <c r="B26" s="7" t="str">
        <f>IFERROR(URUN_KAYIT6[[#This Row],[Ürün Kodu]],"")</f>
        <v/>
      </c>
      <c r="C26" s="7" t="str">
        <f>IFERROR(VLOOKUP(B26,ALIŞ!B:C,2,0),"")</f>
        <v/>
      </c>
      <c r="D26" s="7">
        <f>IFERROR(SUMIF(ALIŞ!$B:$B,STOK!$B:$B,ALIŞ!$F:$F),"")</f>
        <v>0</v>
      </c>
      <c r="E26" s="10">
        <f>IFERROR(SUMIF(ALIŞ!$B:$B,STOK!$B:$B,ALIŞ!$G:$G),"")</f>
        <v>0</v>
      </c>
      <c r="F26" s="7">
        <f>IFERROR(SUMIF(SATIŞ!$B:$B,STOK!$B:$B,SATIŞ!$F:$F)," " )</f>
        <v>0</v>
      </c>
      <c r="G26" s="10">
        <f>IFERROR(SUMIF(SATIŞ!$B:$B,STOK!$B:$B,SATIŞ!$G:$G),"")</f>
        <v>0</v>
      </c>
      <c r="H26" s="8">
        <f t="shared" si="0"/>
        <v>0</v>
      </c>
      <c r="I26" s="11">
        <f t="shared" si="1"/>
        <v>0</v>
      </c>
    </row>
    <row r="27" spans="1:9">
      <c r="A27" s="7" t="str">
        <f>IFERROR(URUN_KAYIT6[[#This Row],[Kategori]],"")</f>
        <v/>
      </c>
      <c r="B27" s="7" t="str">
        <f>IFERROR(URUN_KAYIT6[[#This Row],[Ürün Kodu]],"")</f>
        <v/>
      </c>
      <c r="C27" s="7" t="str">
        <f>IFERROR(VLOOKUP(B27,ALIŞ!B:C,2,0),"")</f>
        <v/>
      </c>
      <c r="D27" s="7">
        <f>IFERROR(SUMIF(ALIŞ!$B:$B,STOK!$B:$B,ALIŞ!$F:$F),"")</f>
        <v>0</v>
      </c>
      <c r="E27" s="10">
        <f>IFERROR(SUMIF(ALIŞ!$B:$B,STOK!$B:$B,ALIŞ!$G:$G),"")</f>
        <v>0</v>
      </c>
      <c r="F27" s="7">
        <f>IFERROR(SUMIF(SATIŞ!$B:$B,STOK!$B:$B,SATIŞ!$F:$F)," " )</f>
        <v>0</v>
      </c>
      <c r="G27" s="10">
        <f>IFERROR(SUMIF(SATIŞ!$B:$B,STOK!$B:$B,SATIŞ!$G:$G),"")</f>
        <v>0</v>
      </c>
      <c r="H27" s="8">
        <f t="shared" si="0"/>
        <v>0</v>
      </c>
      <c r="I27" s="11">
        <f t="shared" si="1"/>
        <v>0</v>
      </c>
    </row>
    <row r="28" spans="1:9">
      <c r="A28" s="7" t="str">
        <f>IFERROR(URUN_KAYIT6[[#This Row],[Kategori]],"")</f>
        <v/>
      </c>
      <c r="B28" s="7" t="str">
        <f>IFERROR(URUN_KAYIT6[[#This Row],[Ürün Kodu]],"")</f>
        <v/>
      </c>
      <c r="C28" s="7" t="str">
        <f>IFERROR(VLOOKUP(B28,ALIŞ!B:C,2,0),"")</f>
        <v/>
      </c>
      <c r="D28" s="7">
        <f>IFERROR(SUMIF(ALIŞ!$B:$B,STOK!$B:$B,ALIŞ!$F:$F),"")</f>
        <v>0</v>
      </c>
      <c r="E28" s="10">
        <f>IFERROR(SUMIF(ALIŞ!$B:$B,STOK!$B:$B,ALIŞ!$G:$G),"")</f>
        <v>0</v>
      </c>
      <c r="F28" s="7">
        <f>IFERROR(SUMIF(SATIŞ!$B:$B,STOK!$B:$B,SATIŞ!$F:$F)," " )</f>
        <v>0</v>
      </c>
      <c r="G28" s="10">
        <f>IFERROR(SUMIF(SATIŞ!$B:$B,STOK!$B:$B,SATIŞ!$G:$G),"")</f>
        <v>0</v>
      </c>
      <c r="H28" s="8">
        <f t="shared" si="0"/>
        <v>0</v>
      </c>
      <c r="I28" s="11">
        <f t="shared" si="1"/>
        <v>0</v>
      </c>
    </row>
    <row r="29" spans="1:9">
      <c r="A29" s="7" t="str">
        <f>IFERROR(URUN_KAYIT6[[#This Row],[Kategori]],"")</f>
        <v/>
      </c>
      <c r="B29" s="7" t="str">
        <f>IFERROR(URUN_KAYIT6[[#This Row],[Ürün Kodu]],"")</f>
        <v/>
      </c>
      <c r="C29" s="7" t="str">
        <f>IFERROR(VLOOKUP(B29,ALIŞ!B:C,2,0),"")</f>
        <v/>
      </c>
      <c r="D29" s="7">
        <f>IFERROR(SUMIF(ALIŞ!$B:$B,STOK!$B:$B,ALIŞ!$F:$F),"")</f>
        <v>0</v>
      </c>
      <c r="E29" s="10">
        <f>IFERROR(SUMIF(ALIŞ!$B:$B,STOK!$B:$B,ALIŞ!$G:$G),"")</f>
        <v>0</v>
      </c>
      <c r="F29" s="7">
        <f>IFERROR(SUMIF(SATIŞ!$B:$B,STOK!$B:$B,SATIŞ!$F:$F)," " )</f>
        <v>0</v>
      </c>
      <c r="G29" s="10">
        <f>IFERROR(SUMIF(SATIŞ!$B:$B,STOK!$B:$B,SATIŞ!$G:$G),"")</f>
        <v>0</v>
      </c>
      <c r="H29" s="8">
        <f t="shared" si="0"/>
        <v>0</v>
      </c>
      <c r="I29" s="11">
        <f t="shared" si="1"/>
        <v>0</v>
      </c>
    </row>
    <row r="30" spans="1:9">
      <c r="A30" s="7" t="str">
        <f>IFERROR(URUN_KAYIT6[[#This Row],[Kategori]],"")</f>
        <v/>
      </c>
      <c r="B30" s="7" t="str">
        <f>IFERROR(URUN_KAYIT6[[#This Row],[Ürün Kodu]],"")</f>
        <v/>
      </c>
      <c r="C30" s="7" t="str">
        <f>IFERROR(VLOOKUP(B30,ALIŞ!B:C,2,0),"")</f>
        <v/>
      </c>
      <c r="D30" s="7">
        <f>IFERROR(SUMIF(ALIŞ!$B:$B,STOK!$B:$B,ALIŞ!$F:$F),"")</f>
        <v>0</v>
      </c>
      <c r="E30" s="10">
        <f>IFERROR(SUMIF(ALIŞ!$B:$B,STOK!$B:$B,ALIŞ!$G:$G),"")</f>
        <v>0</v>
      </c>
      <c r="F30" s="7">
        <f>IFERROR(SUMIF(SATIŞ!$B:$B,STOK!$B:$B,SATIŞ!$F:$F)," " )</f>
        <v>0</v>
      </c>
      <c r="G30" s="10">
        <f>IFERROR(SUMIF(SATIŞ!$B:$B,STOK!$B:$B,SATIŞ!$G:$G),"")</f>
        <v>0</v>
      </c>
      <c r="H30" s="8">
        <f t="shared" si="0"/>
        <v>0</v>
      </c>
      <c r="I30" s="11">
        <f t="shared" si="1"/>
        <v>0</v>
      </c>
    </row>
    <row r="31" spans="1:9">
      <c r="A31" s="7" t="str">
        <f>IFERROR(URUN_KAYIT6[[#This Row],[Kategori]],"")</f>
        <v/>
      </c>
      <c r="B31" s="7" t="str">
        <f>IFERROR(URUN_KAYIT6[[#This Row],[Ürün Kodu]],"")</f>
        <v/>
      </c>
      <c r="C31" s="7" t="str">
        <f>IFERROR(VLOOKUP(B31,ALIŞ!B:C,2,0),"")</f>
        <v/>
      </c>
      <c r="D31" s="7">
        <f>IFERROR(SUMIF(ALIŞ!$B:$B,STOK!$B:$B,ALIŞ!$F:$F),"")</f>
        <v>0</v>
      </c>
      <c r="E31" s="10">
        <f>IFERROR(SUMIF(ALIŞ!$B:$B,STOK!$B:$B,ALIŞ!$G:$G),"")</f>
        <v>0</v>
      </c>
      <c r="F31" s="7">
        <f>IFERROR(SUMIF(SATIŞ!$B:$B,STOK!$B:$B,SATIŞ!$F:$F)," " )</f>
        <v>0</v>
      </c>
      <c r="G31" s="10">
        <f>IFERROR(SUMIF(SATIŞ!$B:$B,STOK!$B:$B,SATIŞ!$G:$G),"")</f>
        <v>0</v>
      </c>
      <c r="H31" s="8">
        <f t="shared" si="0"/>
        <v>0</v>
      </c>
      <c r="I31" s="11">
        <f t="shared" si="1"/>
        <v>0</v>
      </c>
    </row>
    <row r="32" spans="1:9">
      <c r="A32" s="7" t="str">
        <f>IFERROR(URUN_KAYIT6[[#This Row],[Kategori]],"")</f>
        <v/>
      </c>
      <c r="B32" s="7" t="str">
        <f>IFERROR(URUN_KAYIT6[[#This Row],[Ürün Kodu]],"")</f>
        <v/>
      </c>
      <c r="C32" s="7" t="str">
        <f>IFERROR(VLOOKUP(B32,ALIŞ!B:C,2,0),"")</f>
        <v/>
      </c>
      <c r="D32" s="7">
        <f>IFERROR(SUMIF(ALIŞ!$B:$B,STOK!$B:$B,ALIŞ!$F:$F),"")</f>
        <v>0</v>
      </c>
      <c r="E32" s="10">
        <f>IFERROR(SUMIF(ALIŞ!$B:$B,STOK!$B:$B,ALIŞ!$G:$G),"")</f>
        <v>0</v>
      </c>
      <c r="F32" s="7">
        <f>IFERROR(SUMIF(SATIŞ!$B:$B,STOK!$B:$B,SATIŞ!$F:$F)," " )</f>
        <v>0</v>
      </c>
      <c r="G32" s="10">
        <f>IFERROR(SUMIF(SATIŞ!$B:$B,STOK!$B:$B,SATIŞ!$G:$G),"")</f>
        <v>0</v>
      </c>
      <c r="H32" s="8">
        <f t="shared" si="0"/>
        <v>0</v>
      </c>
      <c r="I32" s="11">
        <f t="shared" si="1"/>
        <v>0</v>
      </c>
    </row>
    <row r="33" spans="1:9">
      <c r="A33" s="7" t="str">
        <f>IFERROR(URUN_KAYIT6[[#This Row],[Kategori]],"")</f>
        <v/>
      </c>
      <c r="B33" s="7" t="str">
        <f>IFERROR(URUN_KAYIT6[[#This Row],[Ürün Kodu]],"")</f>
        <v/>
      </c>
      <c r="C33" s="7" t="str">
        <f>IFERROR(VLOOKUP(B33,ALIŞ!B:C,2,0),"")</f>
        <v/>
      </c>
      <c r="D33" s="7">
        <f>IFERROR(SUMIF(ALIŞ!$B:$B,STOK!$B:$B,ALIŞ!$F:$F),"")</f>
        <v>0</v>
      </c>
      <c r="E33" s="10">
        <f>IFERROR(SUMIF(ALIŞ!$B:$B,STOK!$B:$B,ALIŞ!$G:$G),"")</f>
        <v>0</v>
      </c>
      <c r="F33" s="7">
        <f>IFERROR(SUMIF(SATIŞ!$B:$B,STOK!$B:$B,SATIŞ!$F:$F)," " )</f>
        <v>0</v>
      </c>
      <c r="G33" s="10">
        <f>IFERROR(SUMIF(SATIŞ!$B:$B,STOK!$B:$B,SATIŞ!$G:$G),"")</f>
        <v>0</v>
      </c>
      <c r="H33" s="8">
        <f t="shared" si="0"/>
        <v>0</v>
      </c>
      <c r="I33" s="11">
        <f t="shared" si="1"/>
        <v>0</v>
      </c>
    </row>
    <row r="34" spans="1:9">
      <c r="A34" s="7" t="str">
        <f>IFERROR(URUN_KAYIT6[[#This Row],[Kategori]],"")</f>
        <v/>
      </c>
      <c r="B34" s="7" t="str">
        <f>IFERROR(URUN_KAYIT6[[#This Row],[Ürün Kodu]],"")</f>
        <v/>
      </c>
      <c r="C34" s="7" t="str">
        <f>IFERROR(VLOOKUP(B34,ALIŞ!B:C,2,0),"")</f>
        <v/>
      </c>
      <c r="D34" s="7">
        <f>IFERROR(SUMIF(ALIŞ!$B:$B,STOK!$B:$B,ALIŞ!$F:$F),"")</f>
        <v>0</v>
      </c>
      <c r="E34" s="10">
        <f>IFERROR(SUMIF(ALIŞ!$B:$B,STOK!$B:$B,ALIŞ!$G:$G),"")</f>
        <v>0</v>
      </c>
      <c r="F34" s="7">
        <f>IFERROR(SUMIF(SATIŞ!$B:$B,STOK!$B:$B,SATIŞ!$F:$F)," " )</f>
        <v>0</v>
      </c>
      <c r="G34" s="10">
        <f>IFERROR(SUMIF(SATIŞ!$B:$B,STOK!$B:$B,SATIŞ!$G:$G),"")</f>
        <v>0</v>
      </c>
      <c r="H34" s="8">
        <f t="shared" ref="H34:H65" si="2">IFERROR(D34-F34," ")</f>
        <v>0</v>
      </c>
      <c r="I34" s="11">
        <f t="shared" ref="I34:I65" si="3">IFERROR(G34-E34," ")</f>
        <v>0</v>
      </c>
    </row>
    <row r="35" spans="1:9">
      <c r="A35" s="7" t="str">
        <f>IFERROR(URUN_KAYIT6[[#This Row],[Kategori]],"")</f>
        <v/>
      </c>
      <c r="B35" s="7" t="str">
        <f>IFERROR(URUN_KAYIT6[[#This Row],[Ürün Kodu]],"")</f>
        <v/>
      </c>
      <c r="C35" s="7" t="str">
        <f>IFERROR(VLOOKUP(B35,ALIŞ!B:C,2,0),"")</f>
        <v/>
      </c>
      <c r="D35" s="7">
        <f>IFERROR(SUMIF(ALIŞ!$B:$B,STOK!$B:$B,ALIŞ!$F:$F),"")</f>
        <v>0</v>
      </c>
      <c r="E35" s="10">
        <f>IFERROR(SUMIF(ALIŞ!$B:$B,STOK!$B:$B,ALIŞ!$G:$G),"")</f>
        <v>0</v>
      </c>
      <c r="F35" s="7">
        <f>IFERROR(SUMIF(SATIŞ!$B:$B,STOK!$B:$B,SATIŞ!$F:$F)," " )</f>
        <v>0</v>
      </c>
      <c r="G35" s="10">
        <f>IFERROR(SUMIF(SATIŞ!$B:$B,STOK!$B:$B,SATIŞ!$G:$G),"")</f>
        <v>0</v>
      </c>
      <c r="H35" s="8">
        <f t="shared" si="2"/>
        <v>0</v>
      </c>
      <c r="I35" s="11">
        <f t="shared" si="3"/>
        <v>0</v>
      </c>
    </row>
    <row r="36" spans="1:9">
      <c r="A36" s="7" t="str">
        <f>IFERROR(URUN_KAYIT6[[#This Row],[Kategori]],"")</f>
        <v/>
      </c>
      <c r="B36" s="7" t="str">
        <f>IFERROR(URUN_KAYIT6[[#This Row],[Ürün Kodu]],"")</f>
        <v/>
      </c>
      <c r="C36" s="7" t="str">
        <f>IFERROR(VLOOKUP(B36,ALIŞ!B:C,2,0),"")</f>
        <v/>
      </c>
      <c r="D36" s="7">
        <f>IFERROR(SUMIF(ALIŞ!$B:$B,STOK!$B:$B,ALIŞ!$F:$F),"")</f>
        <v>0</v>
      </c>
      <c r="E36" s="10">
        <f>IFERROR(SUMIF(ALIŞ!$B:$B,STOK!$B:$B,ALIŞ!$G:$G),"")</f>
        <v>0</v>
      </c>
      <c r="F36" s="7">
        <f>IFERROR(SUMIF(SATIŞ!$B:$B,STOK!$B:$B,SATIŞ!$F:$F)," " )</f>
        <v>0</v>
      </c>
      <c r="G36" s="10">
        <f>IFERROR(SUMIF(SATIŞ!$B:$B,STOK!$B:$B,SATIŞ!$G:$G),"")</f>
        <v>0</v>
      </c>
      <c r="H36" s="8">
        <f t="shared" si="2"/>
        <v>0</v>
      </c>
      <c r="I36" s="11">
        <f t="shared" si="3"/>
        <v>0</v>
      </c>
    </row>
    <row r="37" spans="1:9">
      <c r="A37" s="7" t="str">
        <f>IFERROR(URUN_KAYIT6[[#This Row],[Kategori]],"")</f>
        <v/>
      </c>
      <c r="B37" s="7" t="str">
        <f>IFERROR(URUN_KAYIT6[[#This Row],[Ürün Kodu]],"")</f>
        <v/>
      </c>
      <c r="C37" s="7" t="str">
        <f>IFERROR(VLOOKUP(B37,ALIŞ!B:C,2,0),"")</f>
        <v/>
      </c>
      <c r="D37" s="7">
        <f>IFERROR(SUMIF(ALIŞ!$B:$B,STOK!$B:$B,ALIŞ!$F:$F),"")</f>
        <v>0</v>
      </c>
      <c r="E37" s="10">
        <f>IFERROR(SUMIF(ALIŞ!$B:$B,STOK!$B:$B,ALIŞ!$G:$G),"")</f>
        <v>0</v>
      </c>
      <c r="F37" s="7">
        <f>IFERROR(SUMIF(SATIŞ!$B:$B,STOK!$B:$B,SATIŞ!$F:$F)," " )</f>
        <v>0</v>
      </c>
      <c r="G37" s="10">
        <f>IFERROR(SUMIF(SATIŞ!$B:$B,STOK!$B:$B,SATIŞ!$G:$G),"")</f>
        <v>0</v>
      </c>
      <c r="H37" s="8">
        <f t="shared" si="2"/>
        <v>0</v>
      </c>
      <c r="I37" s="11">
        <f t="shared" si="3"/>
        <v>0</v>
      </c>
    </row>
    <row r="38" spans="1:9">
      <c r="A38" s="7" t="str">
        <f>IFERROR(URUN_KAYIT6[[#This Row],[Kategori]],"")</f>
        <v/>
      </c>
      <c r="B38" s="7" t="str">
        <f>IFERROR(URUN_KAYIT6[[#This Row],[Ürün Kodu]],"")</f>
        <v/>
      </c>
      <c r="C38" s="7" t="str">
        <f>IFERROR(VLOOKUP(B38,ALIŞ!B:C,2,0),"")</f>
        <v/>
      </c>
      <c r="D38" s="7">
        <f>IFERROR(SUMIF(ALIŞ!$B:$B,STOK!$B:$B,ALIŞ!$F:$F),"")</f>
        <v>0</v>
      </c>
      <c r="E38" s="10">
        <f>IFERROR(SUMIF(ALIŞ!$B:$B,STOK!$B:$B,ALIŞ!$G:$G),"")</f>
        <v>0</v>
      </c>
      <c r="F38" s="7">
        <f>IFERROR(SUMIF(SATIŞ!$B:$B,STOK!$B:$B,SATIŞ!$F:$F)," " )</f>
        <v>0</v>
      </c>
      <c r="G38" s="10">
        <f>IFERROR(SUMIF(SATIŞ!$B:$B,STOK!$B:$B,SATIŞ!$G:$G),"")</f>
        <v>0</v>
      </c>
      <c r="H38" s="8">
        <f t="shared" si="2"/>
        <v>0</v>
      </c>
      <c r="I38" s="11">
        <f t="shared" si="3"/>
        <v>0</v>
      </c>
    </row>
    <row r="39" spans="1:9">
      <c r="A39" s="7" t="str">
        <f>IFERROR(URUN_KAYIT6[[#This Row],[Kategori]],"")</f>
        <v/>
      </c>
      <c r="B39" s="7" t="str">
        <f>IFERROR(URUN_KAYIT6[[#This Row],[Ürün Kodu]],"")</f>
        <v/>
      </c>
      <c r="C39" s="7" t="str">
        <f>IFERROR(VLOOKUP(B39,ALIŞ!B:C,2,0),"")</f>
        <v/>
      </c>
      <c r="D39" s="7">
        <f>IFERROR(SUMIF(ALIŞ!$B:$B,STOK!$B:$B,ALIŞ!$F:$F),"")</f>
        <v>0</v>
      </c>
      <c r="E39" s="10">
        <f>IFERROR(SUMIF(ALIŞ!$B:$B,STOK!$B:$B,ALIŞ!$G:$G),"")</f>
        <v>0</v>
      </c>
      <c r="F39" s="7">
        <f>IFERROR(SUMIF(SATIŞ!$B:$B,STOK!$B:$B,SATIŞ!$F:$F)," " )</f>
        <v>0</v>
      </c>
      <c r="G39" s="10">
        <f>IFERROR(SUMIF(SATIŞ!$B:$B,STOK!$B:$B,SATIŞ!$G:$G),"")</f>
        <v>0</v>
      </c>
      <c r="H39" s="8">
        <f t="shared" si="2"/>
        <v>0</v>
      </c>
      <c r="I39" s="11">
        <f t="shared" si="3"/>
        <v>0</v>
      </c>
    </row>
    <row r="40" spans="1:9">
      <c r="A40" s="7" t="str">
        <f>IFERROR(URUN_KAYIT6[[#This Row],[Kategori]],"")</f>
        <v/>
      </c>
      <c r="B40" s="7" t="str">
        <f>IFERROR(URUN_KAYIT6[[#This Row],[Ürün Kodu]],"")</f>
        <v/>
      </c>
      <c r="C40" s="7" t="str">
        <f>IFERROR(VLOOKUP(B40,ALIŞ!B:C,2,0),"")</f>
        <v/>
      </c>
      <c r="D40" s="7">
        <f>IFERROR(SUMIF(ALIŞ!$B:$B,STOK!$B:$B,ALIŞ!$F:$F),"")</f>
        <v>0</v>
      </c>
      <c r="E40" s="10">
        <f>IFERROR(SUMIF(ALIŞ!$B:$B,STOK!$B:$B,ALIŞ!$G:$G),"")</f>
        <v>0</v>
      </c>
      <c r="F40" s="7">
        <f>IFERROR(SUMIF(SATIŞ!$B:$B,STOK!$B:$B,SATIŞ!$F:$F)," " )</f>
        <v>0</v>
      </c>
      <c r="G40" s="10">
        <f>IFERROR(SUMIF(SATIŞ!$B:$B,STOK!$B:$B,SATIŞ!$G:$G),"")</f>
        <v>0</v>
      </c>
      <c r="H40" s="8">
        <f t="shared" si="2"/>
        <v>0</v>
      </c>
      <c r="I40" s="11">
        <f t="shared" si="3"/>
        <v>0</v>
      </c>
    </row>
    <row r="41" spans="1:9">
      <c r="A41" s="7" t="str">
        <f>IFERROR(URUN_KAYIT6[[#This Row],[Kategori]],"")</f>
        <v/>
      </c>
      <c r="B41" s="7" t="str">
        <f>IFERROR(URUN_KAYIT6[[#This Row],[Ürün Kodu]],"")</f>
        <v/>
      </c>
      <c r="C41" s="7" t="str">
        <f>IFERROR(VLOOKUP(B41,ALIŞ!B:C,2,0),"")</f>
        <v/>
      </c>
      <c r="D41" s="7">
        <f>IFERROR(SUMIF(ALIŞ!$B:$B,STOK!$B:$B,ALIŞ!$F:$F),"")</f>
        <v>0</v>
      </c>
      <c r="E41" s="10">
        <f>IFERROR(SUMIF(ALIŞ!$B:$B,STOK!$B:$B,ALIŞ!$G:$G),"")</f>
        <v>0</v>
      </c>
      <c r="F41" s="7">
        <f>IFERROR(SUMIF(SATIŞ!$B:$B,STOK!$B:$B,SATIŞ!$F:$F)," " )</f>
        <v>0</v>
      </c>
      <c r="G41" s="10">
        <f>IFERROR(SUMIF(SATIŞ!$B:$B,STOK!$B:$B,SATIŞ!$G:$G),"")</f>
        <v>0</v>
      </c>
      <c r="H41" s="8">
        <f t="shared" si="2"/>
        <v>0</v>
      </c>
      <c r="I41" s="11">
        <f t="shared" si="3"/>
        <v>0</v>
      </c>
    </row>
    <row r="42" spans="1:9">
      <c r="A42" s="7" t="str">
        <f>IFERROR(URUN_KAYIT6[[#This Row],[Kategori]],"")</f>
        <v/>
      </c>
      <c r="B42" s="7" t="str">
        <f>IFERROR(URUN_KAYIT6[[#This Row],[Ürün Kodu]],"")</f>
        <v/>
      </c>
      <c r="C42" s="7" t="str">
        <f>IFERROR(VLOOKUP(B42,ALIŞ!B:C,2,0),"")</f>
        <v/>
      </c>
      <c r="D42" s="7">
        <f>IFERROR(SUMIF(ALIŞ!$B:$B,STOK!$B:$B,ALIŞ!$F:$F),"")</f>
        <v>0</v>
      </c>
      <c r="E42" s="10">
        <f>IFERROR(SUMIF(ALIŞ!$B:$B,STOK!$B:$B,ALIŞ!$G:$G),"")</f>
        <v>0</v>
      </c>
      <c r="F42" s="7">
        <f>IFERROR(SUMIF(SATIŞ!$B:$B,STOK!$B:$B,SATIŞ!$F:$F)," " )</f>
        <v>0</v>
      </c>
      <c r="G42" s="10">
        <f>IFERROR(SUMIF(SATIŞ!$B:$B,STOK!$B:$B,SATIŞ!$G:$G),"")</f>
        <v>0</v>
      </c>
      <c r="H42" s="8">
        <f t="shared" si="2"/>
        <v>0</v>
      </c>
      <c r="I42" s="11">
        <f t="shared" si="3"/>
        <v>0</v>
      </c>
    </row>
    <row r="43" spans="1:9">
      <c r="A43" s="7" t="str">
        <f>IFERROR(URUN_KAYIT6[[#This Row],[Kategori]],"")</f>
        <v/>
      </c>
      <c r="B43" s="7" t="str">
        <f>IFERROR(URUN_KAYIT6[[#This Row],[Ürün Kodu]],"")</f>
        <v/>
      </c>
      <c r="C43" s="7" t="str">
        <f>IFERROR(VLOOKUP(B43,ALIŞ!B:C,2,0),"")</f>
        <v/>
      </c>
      <c r="D43" s="7">
        <f>IFERROR(SUMIF(ALIŞ!$B:$B,STOK!$B:$B,ALIŞ!$F:$F),"")</f>
        <v>0</v>
      </c>
      <c r="E43" s="10">
        <f>IFERROR(SUMIF(ALIŞ!$B:$B,STOK!$B:$B,ALIŞ!$G:$G),"")</f>
        <v>0</v>
      </c>
      <c r="F43" s="7">
        <f>IFERROR(SUMIF(SATIŞ!$B:$B,STOK!$B:$B,SATIŞ!$F:$F)," " )</f>
        <v>0</v>
      </c>
      <c r="G43" s="10">
        <f>IFERROR(SUMIF(SATIŞ!$B:$B,STOK!$B:$B,SATIŞ!$G:$G),"")</f>
        <v>0</v>
      </c>
      <c r="H43" s="8">
        <f t="shared" si="2"/>
        <v>0</v>
      </c>
      <c r="I43" s="11">
        <f t="shared" si="3"/>
        <v>0</v>
      </c>
    </row>
    <row r="44" spans="1:9">
      <c r="A44" s="7" t="str">
        <f>IFERROR(URUN_KAYIT6[[#This Row],[Kategori]],"")</f>
        <v/>
      </c>
      <c r="B44" s="7" t="str">
        <f>IFERROR(URUN_KAYIT6[[#This Row],[Ürün Kodu]],"")</f>
        <v/>
      </c>
      <c r="C44" s="7" t="str">
        <f>IFERROR(VLOOKUP(B44,ALIŞ!B:C,2,0),"")</f>
        <v/>
      </c>
      <c r="D44" s="7">
        <f>IFERROR(SUMIF(ALIŞ!$B:$B,STOK!$B:$B,ALIŞ!$F:$F),"")</f>
        <v>0</v>
      </c>
      <c r="E44" s="10">
        <f>IFERROR(SUMIF(ALIŞ!$B:$B,STOK!$B:$B,ALIŞ!$G:$G),"")</f>
        <v>0</v>
      </c>
      <c r="F44" s="7">
        <f>IFERROR(SUMIF(SATIŞ!$B:$B,STOK!$B:$B,SATIŞ!$F:$F)," " )</f>
        <v>0</v>
      </c>
      <c r="G44" s="10">
        <f>IFERROR(SUMIF(SATIŞ!$B:$B,STOK!$B:$B,SATIŞ!$G:$G),"")</f>
        <v>0</v>
      </c>
      <c r="H44" s="8">
        <f t="shared" si="2"/>
        <v>0</v>
      </c>
      <c r="I44" s="11">
        <f t="shared" si="3"/>
        <v>0</v>
      </c>
    </row>
    <row r="45" spans="1:9">
      <c r="A45" s="7" t="str">
        <f>IFERROR(URUN_KAYIT6[[#This Row],[Kategori]],"")</f>
        <v/>
      </c>
      <c r="B45" s="7" t="str">
        <f>IFERROR(URUN_KAYIT6[[#This Row],[Ürün Kodu]],"")</f>
        <v/>
      </c>
      <c r="C45" s="7" t="str">
        <f>IFERROR(VLOOKUP(B45,ALIŞ!B:C,2,0),"")</f>
        <v/>
      </c>
      <c r="D45" s="7">
        <f>IFERROR(SUMIF(ALIŞ!$B:$B,STOK!$B:$B,ALIŞ!$F:$F),"")</f>
        <v>0</v>
      </c>
      <c r="E45" s="10">
        <f>IFERROR(SUMIF(ALIŞ!$B:$B,STOK!$B:$B,ALIŞ!$G:$G),"")</f>
        <v>0</v>
      </c>
      <c r="F45" s="7">
        <f>IFERROR(SUMIF(SATIŞ!$B:$B,STOK!$B:$B,SATIŞ!$F:$F)," " )</f>
        <v>0</v>
      </c>
      <c r="G45" s="10">
        <f>IFERROR(SUMIF(SATIŞ!$B:$B,STOK!$B:$B,SATIŞ!$G:$G),"")</f>
        <v>0</v>
      </c>
      <c r="H45" s="8">
        <f t="shared" si="2"/>
        <v>0</v>
      </c>
      <c r="I45" s="11">
        <f t="shared" si="3"/>
        <v>0</v>
      </c>
    </row>
    <row r="46" spans="1:9">
      <c r="A46" s="7" t="str">
        <f>IFERROR(URUN_KAYIT6[[#This Row],[Kategori]],"")</f>
        <v/>
      </c>
      <c r="B46" s="7" t="str">
        <f>IFERROR(URUN_KAYIT6[[#This Row],[Ürün Kodu]],"")</f>
        <v/>
      </c>
      <c r="C46" s="7" t="str">
        <f>IFERROR(VLOOKUP(B46,ALIŞ!B:C,2,0),"")</f>
        <v/>
      </c>
      <c r="D46" s="7">
        <f>IFERROR(SUMIF(ALIŞ!$B:$B,STOK!$B:$B,ALIŞ!$F:$F),"")</f>
        <v>0</v>
      </c>
      <c r="E46" s="10">
        <f>IFERROR(SUMIF(ALIŞ!$B:$B,STOK!$B:$B,ALIŞ!$G:$G),"")</f>
        <v>0</v>
      </c>
      <c r="F46" s="7">
        <f>IFERROR(SUMIF(SATIŞ!$B:$B,STOK!$B:$B,SATIŞ!$F:$F)," " )</f>
        <v>0</v>
      </c>
      <c r="G46" s="10">
        <f>IFERROR(SUMIF(SATIŞ!$B:$B,STOK!$B:$B,SATIŞ!$G:$G),"")</f>
        <v>0</v>
      </c>
      <c r="H46" s="8">
        <f t="shared" si="2"/>
        <v>0</v>
      </c>
      <c r="I46" s="11">
        <f t="shared" si="3"/>
        <v>0</v>
      </c>
    </row>
    <row r="47" spans="1:9">
      <c r="A47" s="7" t="str">
        <f>IFERROR(URUN_KAYIT6[[#This Row],[Kategori]],"")</f>
        <v/>
      </c>
      <c r="B47" s="7" t="str">
        <f>IFERROR(URUN_KAYIT6[[#This Row],[Ürün Kodu]],"")</f>
        <v/>
      </c>
      <c r="C47" s="7" t="str">
        <f>IFERROR(VLOOKUP(B47,ALIŞ!B:C,2,0),"")</f>
        <v/>
      </c>
      <c r="D47" s="7">
        <f>IFERROR(SUMIF(ALIŞ!$B:$B,STOK!$B:$B,ALIŞ!$F:$F),"")</f>
        <v>0</v>
      </c>
      <c r="E47" s="10">
        <f>IFERROR(SUMIF(ALIŞ!$B:$B,STOK!$B:$B,ALIŞ!$G:$G),"")</f>
        <v>0</v>
      </c>
      <c r="F47" s="7">
        <f>IFERROR(SUMIF(SATIŞ!$B:$B,STOK!$B:$B,SATIŞ!$F:$F)," " )</f>
        <v>0</v>
      </c>
      <c r="G47" s="10">
        <f>IFERROR(SUMIF(SATIŞ!$B:$B,STOK!$B:$B,SATIŞ!$G:$G),"")</f>
        <v>0</v>
      </c>
      <c r="H47" s="8">
        <f t="shared" si="2"/>
        <v>0</v>
      </c>
      <c r="I47" s="11">
        <f t="shared" si="3"/>
        <v>0</v>
      </c>
    </row>
    <row r="48" spans="1:9">
      <c r="A48" s="7" t="str">
        <f>IFERROR(URUN_KAYIT6[[#This Row],[Kategori]],"")</f>
        <v/>
      </c>
      <c r="B48" s="7" t="str">
        <f>IFERROR(URUN_KAYIT6[[#This Row],[Ürün Kodu]],"")</f>
        <v/>
      </c>
      <c r="C48" s="7" t="str">
        <f>IFERROR(VLOOKUP(B48,ALIŞ!B:C,2,0),"")</f>
        <v/>
      </c>
      <c r="D48" s="7">
        <f>IFERROR(SUMIF(ALIŞ!$B:$B,STOK!$B:$B,ALIŞ!$F:$F),"")</f>
        <v>0</v>
      </c>
      <c r="E48" s="10">
        <f>IFERROR(SUMIF(ALIŞ!$B:$B,STOK!$B:$B,ALIŞ!$G:$G),"")</f>
        <v>0</v>
      </c>
      <c r="F48" s="7">
        <f>IFERROR(SUMIF(SATIŞ!$B:$B,STOK!$B:$B,SATIŞ!$F:$F)," " )</f>
        <v>0</v>
      </c>
      <c r="G48" s="10">
        <f>IFERROR(SUMIF(SATIŞ!$B:$B,STOK!$B:$B,SATIŞ!$G:$G),"")</f>
        <v>0</v>
      </c>
      <c r="H48" s="8">
        <f t="shared" si="2"/>
        <v>0</v>
      </c>
      <c r="I48" s="11">
        <f t="shared" si="3"/>
        <v>0</v>
      </c>
    </row>
    <row r="49" spans="1:9">
      <c r="A49" s="7" t="str">
        <f>IFERROR(URUN_KAYIT6[[#This Row],[Kategori]],"")</f>
        <v/>
      </c>
      <c r="B49" s="7" t="str">
        <f>IFERROR(URUN_KAYIT6[[#This Row],[Ürün Kodu]],"")</f>
        <v/>
      </c>
      <c r="C49" s="7" t="str">
        <f>IFERROR(VLOOKUP(B49,ALIŞ!B:C,2,0),"")</f>
        <v/>
      </c>
      <c r="D49" s="7">
        <f>IFERROR(SUMIF(ALIŞ!$B:$B,STOK!$B:$B,ALIŞ!$F:$F),"")</f>
        <v>0</v>
      </c>
      <c r="E49" s="10">
        <f>IFERROR(SUMIF(ALIŞ!$B:$B,STOK!$B:$B,ALIŞ!$G:$G),"")</f>
        <v>0</v>
      </c>
      <c r="F49" s="7">
        <f>IFERROR(SUMIF(SATIŞ!$B:$B,STOK!$B:$B,SATIŞ!$F:$F)," " )</f>
        <v>0</v>
      </c>
      <c r="G49" s="10">
        <f>IFERROR(SUMIF(SATIŞ!$B:$B,STOK!$B:$B,SATIŞ!$G:$G),"")</f>
        <v>0</v>
      </c>
      <c r="H49" s="8">
        <f t="shared" si="2"/>
        <v>0</v>
      </c>
      <c r="I49" s="11">
        <f t="shared" si="3"/>
        <v>0</v>
      </c>
    </row>
    <row r="50" spans="1:9">
      <c r="A50" s="7" t="str">
        <f>IFERROR(URUN_KAYIT6[[#This Row],[Kategori]],"")</f>
        <v/>
      </c>
      <c r="B50" s="7" t="str">
        <f>IFERROR(URUN_KAYIT6[[#This Row],[Ürün Kodu]],"")</f>
        <v/>
      </c>
      <c r="C50" s="7" t="str">
        <f>IFERROR(VLOOKUP(B50,ALIŞ!B:C,2,0),"")</f>
        <v/>
      </c>
      <c r="D50" s="7">
        <f>IFERROR(SUMIF(ALIŞ!$B:$B,STOK!$B:$B,ALIŞ!$F:$F),"")</f>
        <v>0</v>
      </c>
      <c r="E50" s="10">
        <f>IFERROR(SUMIF(ALIŞ!$B:$B,STOK!$B:$B,ALIŞ!$G:$G),"")</f>
        <v>0</v>
      </c>
      <c r="F50" s="7">
        <f>IFERROR(SUMIF(SATIŞ!$B:$B,STOK!$B:$B,SATIŞ!$F:$F)," " )</f>
        <v>0</v>
      </c>
      <c r="G50" s="10">
        <f>IFERROR(SUMIF(SATIŞ!$B:$B,STOK!$B:$B,SATIŞ!$G:$G),"")</f>
        <v>0</v>
      </c>
      <c r="H50" s="8">
        <f t="shared" si="2"/>
        <v>0</v>
      </c>
      <c r="I50" s="11">
        <f t="shared" si="3"/>
        <v>0</v>
      </c>
    </row>
    <row r="51" spans="1:9">
      <c r="A51" s="7" t="str">
        <f>IFERROR(URUN_KAYIT6[[#This Row],[Kategori]],"")</f>
        <v/>
      </c>
      <c r="B51" s="7" t="str">
        <f>IFERROR(URUN_KAYIT6[[#This Row],[Ürün Kodu]],"")</f>
        <v/>
      </c>
      <c r="C51" s="7" t="str">
        <f>IFERROR(VLOOKUP(B51,ALIŞ!B:C,2,0),"")</f>
        <v/>
      </c>
      <c r="D51" s="7">
        <f>IFERROR(SUMIF(ALIŞ!$B:$B,STOK!$B:$B,ALIŞ!$F:$F),"")</f>
        <v>0</v>
      </c>
      <c r="E51" s="10">
        <f>IFERROR(SUMIF(ALIŞ!$B:$B,STOK!$B:$B,ALIŞ!$G:$G),"")</f>
        <v>0</v>
      </c>
      <c r="F51" s="7">
        <f>IFERROR(SUMIF(SATIŞ!$B:$B,STOK!$B:$B,SATIŞ!$F:$F)," " )</f>
        <v>0</v>
      </c>
      <c r="G51" s="10">
        <f>IFERROR(SUMIF(SATIŞ!$B:$B,STOK!$B:$B,SATIŞ!$G:$G),"")</f>
        <v>0</v>
      </c>
      <c r="H51" s="8">
        <f t="shared" si="2"/>
        <v>0</v>
      </c>
      <c r="I51" s="11">
        <f t="shared" si="3"/>
        <v>0</v>
      </c>
    </row>
    <row r="52" spans="1:9">
      <c r="A52" s="7" t="str">
        <f>IFERROR(URUN_KAYIT6[[#This Row],[Kategori]],"")</f>
        <v/>
      </c>
      <c r="B52" s="7" t="str">
        <f>IFERROR(URUN_KAYIT6[[#This Row],[Ürün Kodu]],"")</f>
        <v/>
      </c>
      <c r="C52" s="7" t="str">
        <f>IFERROR(VLOOKUP(B52,ALIŞ!B:C,2,0),"")</f>
        <v/>
      </c>
      <c r="D52" s="7">
        <f>IFERROR(SUMIF(ALIŞ!$B:$B,STOK!$B:$B,ALIŞ!$F:$F),"")</f>
        <v>0</v>
      </c>
      <c r="E52" s="10">
        <f>IFERROR(SUMIF(ALIŞ!$B:$B,STOK!$B:$B,ALIŞ!$G:$G),"")</f>
        <v>0</v>
      </c>
      <c r="F52" s="7">
        <f>IFERROR(SUMIF(SATIŞ!$B:$B,STOK!$B:$B,SATIŞ!$F:$F)," " )</f>
        <v>0</v>
      </c>
      <c r="G52" s="10">
        <f>IFERROR(SUMIF(SATIŞ!$B:$B,STOK!$B:$B,SATIŞ!$G:$G),"")</f>
        <v>0</v>
      </c>
      <c r="H52" s="8">
        <f t="shared" si="2"/>
        <v>0</v>
      </c>
      <c r="I52" s="11">
        <f t="shared" si="3"/>
        <v>0</v>
      </c>
    </row>
    <row r="53" spans="1:9">
      <c r="A53" s="7" t="str">
        <f>IFERROR(URUN_KAYIT6[[#This Row],[Kategori]],"")</f>
        <v/>
      </c>
      <c r="B53" s="7" t="str">
        <f>IFERROR(URUN_KAYIT6[[#This Row],[Ürün Kodu]],"")</f>
        <v/>
      </c>
      <c r="C53" s="7" t="str">
        <f>IFERROR(VLOOKUP(B53,ALIŞ!B:C,2,0),"")</f>
        <v/>
      </c>
      <c r="D53" s="7">
        <f>IFERROR(SUMIF(ALIŞ!$B:$B,STOK!$B:$B,ALIŞ!$F:$F),"")</f>
        <v>0</v>
      </c>
      <c r="E53" s="10">
        <f>IFERROR(SUMIF(ALIŞ!$B:$B,STOK!$B:$B,ALIŞ!$G:$G),"")</f>
        <v>0</v>
      </c>
      <c r="F53" s="7">
        <f>IFERROR(SUMIF(SATIŞ!$B:$B,STOK!$B:$B,SATIŞ!$F:$F)," " )</f>
        <v>0</v>
      </c>
      <c r="G53" s="10">
        <f>IFERROR(SUMIF(SATIŞ!$B:$B,STOK!$B:$B,SATIŞ!$G:$G),"")</f>
        <v>0</v>
      </c>
      <c r="H53" s="8">
        <f t="shared" si="2"/>
        <v>0</v>
      </c>
      <c r="I53" s="11">
        <f t="shared" si="3"/>
        <v>0</v>
      </c>
    </row>
    <row r="54" spans="1:9">
      <c r="A54" s="7" t="str">
        <f>IFERROR(URUN_KAYIT6[[#This Row],[Kategori]],"")</f>
        <v/>
      </c>
      <c r="B54" s="7" t="str">
        <f>IFERROR(URUN_KAYIT6[[#This Row],[Ürün Kodu]],"")</f>
        <v/>
      </c>
      <c r="C54" s="7" t="str">
        <f>IFERROR(VLOOKUP(B54,ALIŞ!B:C,2,0),"")</f>
        <v/>
      </c>
      <c r="D54" s="7">
        <f>IFERROR(SUMIF(ALIŞ!$B:$B,STOK!$B:$B,ALIŞ!$F:$F),"")</f>
        <v>0</v>
      </c>
      <c r="E54" s="10">
        <f>IFERROR(SUMIF(ALIŞ!$B:$B,STOK!$B:$B,ALIŞ!$G:$G),"")</f>
        <v>0</v>
      </c>
      <c r="F54" s="7">
        <f>IFERROR(SUMIF(SATIŞ!$B:$B,STOK!$B:$B,SATIŞ!$F:$F)," " )</f>
        <v>0</v>
      </c>
      <c r="G54" s="10">
        <f>IFERROR(SUMIF(SATIŞ!$B:$B,STOK!$B:$B,SATIŞ!$G:$G),"")</f>
        <v>0</v>
      </c>
      <c r="H54" s="8">
        <f t="shared" si="2"/>
        <v>0</v>
      </c>
      <c r="I54" s="11">
        <f t="shared" si="3"/>
        <v>0</v>
      </c>
    </row>
    <row r="55" spans="1:9">
      <c r="A55" s="7" t="str">
        <f>IFERROR(URUN_KAYIT6[[#This Row],[Kategori]],"")</f>
        <v/>
      </c>
      <c r="B55" s="7" t="str">
        <f>IFERROR(URUN_KAYIT6[[#This Row],[Ürün Kodu]],"")</f>
        <v/>
      </c>
      <c r="C55" s="7" t="str">
        <f>IFERROR(VLOOKUP(B55,ALIŞ!B:C,2,0),"")</f>
        <v/>
      </c>
      <c r="D55" s="7">
        <f>IFERROR(SUMIF(ALIŞ!$B:$B,STOK!$B:$B,ALIŞ!$F:$F),"")</f>
        <v>0</v>
      </c>
      <c r="E55" s="10">
        <f>IFERROR(SUMIF(ALIŞ!$B:$B,STOK!$B:$B,ALIŞ!$G:$G),"")</f>
        <v>0</v>
      </c>
      <c r="F55" s="7">
        <f>IFERROR(SUMIF(SATIŞ!$B:$B,STOK!$B:$B,SATIŞ!$F:$F)," " )</f>
        <v>0</v>
      </c>
      <c r="G55" s="10">
        <f>IFERROR(SUMIF(SATIŞ!$B:$B,STOK!$B:$B,SATIŞ!$G:$G),"")</f>
        <v>0</v>
      </c>
      <c r="H55" s="8">
        <f t="shared" si="2"/>
        <v>0</v>
      </c>
      <c r="I55" s="11">
        <f t="shared" si="3"/>
        <v>0</v>
      </c>
    </row>
    <row r="56" spans="1:9">
      <c r="A56" s="7" t="str">
        <f>IFERROR(URUN_KAYIT6[[#This Row],[Kategori]],"")</f>
        <v/>
      </c>
      <c r="B56" s="7" t="str">
        <f>IFERROR(URUN_KAYIT6[[#This Row],[Ürün Kodu]],"")</f>
        <v/>
      </c>
      <c r="C56" s="7" t="str">
        <f>IFERROR(VLOOKUP(B56,ALIŞ!B:C,2,0),"")</f>
        <v/>
      </c>
      <c r="D56" s="7">
        <f>IFERROR(SUMIF(ALIŞ!$B:$B,STOK!$B:$B,ALIŞ!$F:$F),"")</f>
        <v>0</v>
      </c>
      <c r="E56" s="10">
        <f>IFERROR(SUMIF(ALIŞ!$B:$B,STOK!$B:$B,ALIŞ!$G:$G),"")</f>
        <v>0</v>
      </c>
      <c r="F56" s="7">
        <f>IFERROR(SUMIF(SATIŞ!$B:$B,STOK!$B:$B,SATIŞ!$F:$F)," " )</f>
        <v>0</v>
      </c>
      <c r="G56" s="10">
        <f>IFERROR(SUMIF(SATIŞ!$B:$B,STOK!$B:$B,SATIŞ!$G:$G),"")</f>
        <v>0</v>
      </c>
      <c r="H56" s="8">
        <f t="shared" si="2"/>
        <v>0</v>
      </c>
      <c r="I56" s="11">
        <f t="shared" si="3"/>
        <v>0</v>
      </c>
    </row>
    <row r="57" spans="1:9">
      <c r="A57" s="7" t="str">
        <f>IFERROR(URUN_KAYIT6[[#This Row],[Kategori]],"")</f>
        <v/>
      </c>
      <c r="B57" s="7" t="str">
        <f>IFERROR(URUN_KAYIT6[[#This Row],[Ürün Kodu]],"")</f>
        <v/>
      </c>
      <c r="C57" s="7" t="str">
        <f>IFERROR(VLOOKUP(B57,ALIŞ!B:C,2,0),"")</f>
        <v/>
      </c>
      <c r="D57" s="7">
        <f>IFERROR(SUMIF(ALIŞ!$B:$B,STOK!$B:$B,ALIŞ!$F:$F),"")</f>
        <v>0</v>
      </c>
      <c r="E57" s="10">
        <f>IFERROR(SUMIF(ALIŞ!$B:$B,STOK!$B:$B,ALIŞ!$G:$G),"")</f>
        <v>0</v>
      </c>
      <c r="F57" s="7">
        <f>IFERROR(SUMIF(SATIŞ!$B:$B,STOK!$B:$B,SATIŞ!$F:$F)," " )</f>
        <v>0</v>
      </c>
      <c r="G57" s="10">
        <f>IFERROR(SUMIF(SATIŞ!$B:$B,STOK!$B:$B,SATIŞ!$G:$G),"")</f>
        <v>0</v>
      </c>
      <c r="H57" s="8">
        <f t="shared" si="2"/>
        <v>0</v>
      </c>
      <c r="I57" s="11">
        <f t="shared" si="3"/>
        <v>0</v>
      </c>
    </row>
    <row r="58" spans="1:9">
      <c r="A58" s="7" t="str">
        <f>IFERROR(URUN_KAYIT6[[#This Row],[Kategori]],"")</f>
        <v/>
      </c>
      <c r="B58" s="7" t="str">
        <f>IFERROR(URUN_KAYIT6[[#This Row],[Ürün Kodu]],"")</f>
        <v/>
      </c>
      <c r="C58" s="7" t="str">
        <f>IFERROR(VLOOKUP(B58,ALIŞ!B:C,2,0),"")</f>
        <v/>
      </c>
      <c r="D58" s="7">
        <f>IFERROR(SUMIF(ALIŞ!$B:$B,STOK!$B:$B,ALIŞ!$F:$F),"")</f>
        <v>0</v>
      </c>
      <c r="E58" s="10">
        <f>IFERROR(SUMIF(ALIŞ!$B:$B,STOK!$B:$B,ALIŞ!$G:$G),"")</f>
        <v>0</v>
      </c>
      <c r="F58" s="7">
        <f>IFERROR(SUMIF(SATIŞ!$B:$B,STOK!$B:$B,SATIŞ!$F:$F)," " )</f>
        <v>0</v>
      </c>
      <c r="G58" s="10">
        <f>IFERROR(SUMIF(SATIŞ!$B:$B,STOK!$B:$B,SATIŞ!$G:$G),"")</f>
        <v>0</v>
      </c>
      <c r="H58" s="8">
        <f t="shared" si="2"/>
        <v>0</v>
      </c>
      <c r="I58" s="11">
        <f t="shared" si="3"/>
        <v>0</v>
      </c>
    </row>
    <row r="59" spans="1:9">
      <c r="A59" s="7" t="str">
        <f>IFERROR(URUN_KAYIT6[[#This Row],[Kategori]],"")</f>
        <v/>
      </c>
      <c r="B59" s="7" t="str">
        <f>IFERROR(URUN_KAYIT6[[#This Row],[Ürün Kodu]],"")</f>
        <v/>
      </c>
      <c r="C59" s="7" t="str">
        <f>IFERROR(VLOOKUP(B59,ALIŞ!B:C,2,0),"")</f>
        <v/>
      </c>
      <c r="D59" s="7">
        <f>IFERROR(SUMIF(ALIŞ!$B:$B,STOK!$B:$B,ALIŞ!$F:$F),"")</f>
        <v>0</v>
      </c>
      <c r="E59" s="10">
        <f>IFERROR(SUMIF(ALIŞ!$B:$B,STOK!$B:$B,ALIŞ!$G:$G),"")</f>
        <v>0</v>
      </c>
      <c r="F59" s="7">
        <f>IFERROR(SUMIF(SATIŞ!$B:$B,STOK!$B:$B,SATIŞ!$F:$F)," " )</f>
        <v>0</v>
      </c>
      <c r="G59" s="10">
        <f>IFERROR(SUMIF(SATIŞ!$B:$B,STOK!$B:$B,SATIŞ!$G:$G),"")</f>
        <v>0</v>
      </c>
      <c r="H59" s="8">
        <f t="shared" si="2"/>
        <v>0</v>
      </c>
      <c r="I59" s="11">
        <f t="shared" si="3"/>
        <v>0</v>
      </c>
    </row>
    <row r="60" spans="1:9">
      <c r="A60" s="7" t="str">
        <f>IFERROR(URUN_KAYIT6[[#This Row],[Kategori]],"")</f>
        <v/>
      </c>
      <c r="B60" s="7" t="str">
        <f>IFERROR(URUN_KAYIT6[[#This Row],[Ürün Kodu]],"")</f>
        <v/>
      </c>
      <c r="C60" s="7" t="str">
        <f>IFERROR(VLOOKUP(B60,ALIŞ!B:C,2,0),"")</f>
        <v/>
      </c>
      <c r="D60" s="7">
        <f>IFERROR(SUMIF(ALIŞ!$B:$B,STOK!$B:$B,ALIŞ!$F:$F),"")</f>
        <v>0</v>
      </c>
      <c r="E60" s="10">
        <f>IFERROR(SUMIF(ALIŞ!$B:$B,STOK!$B:$B,ALIŞ!$G:$G),"")</f>
        <v>0</v>
      </c>
      <c r="F60" s="7">
        <f>IFERROR(SUMIF(SATIŞ!$B:$B,STOK!$B:$B,SATIŞ!$F:$F)," " )</f>
        <v>0</v>
      </c>
      <c r="G60" s="10">
        <f>IFERROR(SUMIF(SATIŞ!$B:$B,STOK!$B:$B,SATIŞ!$G:$G),"")</f>
        <v>0</v>
      </c>
      <c r="H60" s="8">
        <f t="shared" si="2"/>
        <v>0</v>
      </c>
      <c r="I60" s="11">
        <f t="shared" si="3"/>
        <v>0</v>
      </c>
    </row>
    <row r="61" spans="1:9">
      <c r="A61" s="7" t="str">
        <f>IFERROR(URUN_KAYIT6[[#This Row],[Kategori]],"")</f>
        <v/>
      </c>
      <c r="B61" s="7" t="str">
        <f>IFERROR(URUN_KAYIT6[[#This Row],[Ürün Kodu]],"")</f>
        <v/>
      </c>
      <c r="C61" s="7" t="str">
        <f>IFERROR(VLOOKUP(B61,ALIŞ!B:C,2,0),"")</f>
        <v/>
      </c>
      <c r="D61" s="7">
        <f>IFERROR(SUMIF(ALIŞ!$B:$B,STOK!$B:$B,ALIŞ!$F:$F),"")</f>
        <v>0</v>
      </c>
      <c r="E61" s="10">
        <f>IFERROR(SUMIF(ALIŞ!$B:$B,STOK!$B:$B,ALIŞ!$G:$G),"")</f>
        <v>0</v>
      </c>
      <c r="F61" s="7">
        <f>IFERROR(SUMIF(SATIŞ!$B:$B,STOK!$B:$B,SATIŞ!$F:$F)," " )</f>
        <v>0</v>
      </c>
      <c r="G61" s="10">
        <f>IFERROR(SUMIF(SATIŞ!$B:$B,STOK!$B:$B,SATIŞ!$G:$G),"")</f>
        <v>0</v>
      </c>
      <c r="H61" s="8">
        <f t="shared" si="2"/>
        <v>0</v>
      </c>
      <c r="I61" s="11">
        <f t="shared" si="3"/>
        <v>0</v>
      </c>
    </row>
    <row r="62" spans="1:9">
      <c r="A62" s="7" t="str">
        <f>IFERROR(URUN_KAYIT6[[#This Row],[Kategori]],"")</f>
        <v/>
      </c>
      <c r="B62" s="7" t="str">
        <f>IFERROR(URUN_KAYIT6[[#This Row],[Ürün Kodu]],"")</f>
        <v/>
      </c>
      <c r="C62" s="7" t="str">
        <f>IFERROR(VLOOKUP(B62,ALIŞ!B:C,2,0),"")</f>
        <v/>
      </c>
      <c r="D62" s="7">
        <f>IFERROR(SUMIF(ALIŞ!$B:$B,STOK!$B:$B,ALIŞ!$F:$F),"")</f>
        <v>0</v>
      </c>
      <c r="E62" s="10">
        <f>IFERROR(SUMIF(ALIŞ!$B:$B,STOK!$B:$B,ALIŞ!$G:$G),"")</f>
        <v>0</v>
      </c>
      <c r="F62" s="7">
        <f>IFERROR(SUMIF(SATIŞ!$B:$B,STOK!$B:$B,SATIŞ!$F:$F)," " )</f>
        <v>0</v>
      </c>
      <c r="G62" s="10">
        <f>IFERROR(SUMIF(SATIŞ!$B:$B,STOK!$B:$B,SATIŞ!$G:$G),"")</f>
        <v>0</v>
      </c>
      <c r="H62" s="8">
        <f t="shared" si="2"/>
        <v>0</v>
      </c>
      <c r="I62" s="11">
        <f t="shared" si="3"/>
        <v>0</v>
      </c>
    </row>
    <row r="63" spans="1:9">
      <c r="A63" s="7" t="str">
        <f>IFERROR(URUN_KAYIT6[[#This Row],[Kategori]],"")</f>
        <v/>
      </c>
      <c r="B63" s="7" t="str">
        <f>IFERROR(URUN_KAYIT6[[#This Row],[Ürün Kodu]],"")</f>
        <v/>
      </c>
      <c r="C63" s="7" t="str">
        <f>IFERROR(VLOOKUP(B63,ALIŞ!B:C,2,0),"")</f>
        <v/>
      </c>
      <c r="D63" s="7">
        <f>IFERROR(SUMIF(ALIŞ!$B:$B,STOK!$B:$B,ALIŞ!$F:$F),"")</f>
        <v>0</v>
      </c>
      <c r="E63" s="10">
        <f>IFERROR(SUMIF(ALIŞ!$B:$B,STOK!$B:$B,ALIŞ!$G:$G),"")</f>
        <v>0</v>
      </c>
      <c r="F63" s="7">
        <f>IFERROR(SUMIF(SATIŞ!$B:$B,STOK!$B:$B,SATIŞ!$F:$F)," " )</f>
        <v>0</v>
      </c>
      <c r="G63" s="10">
        <f>IFERROR(SUMIF(SATIŞ!$B:$B,STOK!$B:$B,SATIŞ!$G:$G),"")</f>
        <v>0</v>
      </c>
      <c r="H63" s="8">
        <f t="shared" si="2"/>
        <v>0</v>
      </c>
      <c r="I63" s="11">
        <f t="shared" si="3"/>
        <v>0</v>
      </c>
    </row>
    <row r="64" spans="1:9">
      <c r="A64" s="7" t="str">
        <f>IFERROR(URUN_KAYIT6[[#This Row],[Kategori]],"")</f>
        <v/>
      </c>
      <c r="B64" s="7" t="str">
        <f>IFERROR(URUN_KAYIT6[[#This Row],[Ürün Kodu]],"")</f>
        <v/>
      </c>
      <c r="C64" s="7" t="str">
        <f>IFERROR(VLOOKUP(B64,ALIŞ!B:C,2,0),"")</f>
        <v/>
      </c>
      <c r="D64" s="7">
        <f>IFERROR(SUMIF(ALIŞ!$B:$B,STOK!$B:$B,ALIŞ!$F:$F),"")</f>
        <v>0</v>
      </c>
      <c r="E64" s="10">
        <f>IFERROR(SUMIF(ALIŞ!$B:$B,STOK!$B:$B,ALIŞ!$G:$G),"")</f>
        <v>0</v>
      </c>
      <c r="F64" s="7">
        <f>IFERROR(SUMIF(SATIŞ!$B:$B,STOK!$B:$B,SATIŞ!$F:$F)," " )</f>
        <v>0</v>
      </c>
      <c r="G64" s="10">
        <f>IFERROR(SUMIF(SATIŞ!$B:$B,STOK!$B:$B,SATIŞ!$G:$G),"")</f>
        <v>0</v>
      </c>
      <c r="H64" s="8">
        <f t="shared" si="2"/>
        <v>0</v>
      </c>
      <c r="I64" s="11">
        <f t="shared" si="3"/>
        <v>0</v>
      </c>
    </row>
    <row r="65" spans="1:9">
      <c r="A65" s="7" t="str">
        <f>IFERROR(URUN_KAYIT6[[#This Row],[Kategori]],"")</f>
        <v/>
      </c>
      <c r="B65" s="7" t="str">
        <f>IFERROR(URUN_KAYIT6[[#This Row],[Ürün Kodu]],"")</f>
        <v/>
      </c>
      <c r="C65" s="7" t="str">
        <f>IFERROR(VLOOKUP(B65,ALIŞ!B:C,2,0),"")</f>
        <v/>
      </c>
      <c r="D65" s="7">
        <f>IFERROR(SUMIF(ALIŞ!$B:$B,STOK!$B:$B,ALIŞ!$F:$F),"")</f>
        <v>0</v>
      </c>
      <c r="E65" s="10">
        <f>IFERROR(SUMIF(ALIŞ!$B:$B,STOK!$B:$B,ALIŞ!$G:$G),"")</f>
        <v>0</v>
      </c>
      <c r="F65" s="7">
        <f>IFERROR(SUMIF(SATIŞ!$B:$B,STOK!$B:$B,SATIŞ!$F:$F)," " )</f>
        <v>0</v>
      </c>
      <c r="G65" s="10">
        <f>IFERROR(SUMIF(SATIŞ!$B:$B,STOK!$B:$B,SATIŞ!$G:$G),"")</f>
        <v>0</v>
      </c>
      <c r="H65" s="8">
        <f t="shared" si="2"/>
        <v>0</v>
      </c>
      <c r="I65" s="11">
        <f t="shared" si="3"/>
        <v>0</v>
      </c>
    </row>
    <row r="66" spans="1:9">
      <c r="A66" s="7" t="str">
        <f>IFERROR(URUN_KAYIT6[[#This Row],[Kategori]],"")</f>
        <v/>
      </c>
      <c r="B66" s="7" t="str">
        <f>IFERROR(URUN_KAYIT6[[#This Row],[Ürün Kodu]],"")</f>
        <v/>
      </c>
      <c r="C66" s="7" t="str">
        <f>IFERROR(VLOOKUP(B66,ALIŞ!B:C,2,0),"")</f>
        <v/>
      </c>
      <c r="D66" s="7">
        <f>IFERROR(SUMIF(ALIŞ!$B:$B,STOK!$B:$B,ALIŞ!$F:$F),"")</f>
        <v>0</v>
      </c>
      <c r="E66" s="10">
        <f>IFERROR(SUMIF(ALIŞ!$B:$B,STOK!$B:$B,ALIŞ!$G:$G),"")</f>
        <v>0</v>
      </c>
      <c r="F66" s="7">
        <f>IFERROR(SUMIF(SATIŞ!$B:$B,STOK!$B:$B,SATIŞ!$F:$F)," " )</f>
        <v>0</v>
      </c>
      <c r="G66" s="10">
        <f>IFERROR(SUMIF(SATIŞ!$B:$B,STOK!$B:$B,SATIŞ!$G:$G),"")</f>
        <v>0</v>
      </c>
      <c r="H66" s="8">
        <f t="shared" ref="H66:H97" si="4">IFERROR(D66-F66," ")</f>
        <v>0</v>
      </c>
      <c r="I66" s="11">
        <f t="shared" ref="I66:I97" si="5">IFERROR(G66-E66," ")</f>
        <v>0</v>
      </c>
    </row>
    <row r="67" spans="1:9">
      <c r="A67" s="7" t="str">
        <f>IFERROR(URUN_KAYIT6[[#This Row],[Kategori]],"")</f>
        <v/>
      </c>
      <c r="B67" s="7" t="str">
        <f>IFERROR(URUN_KAYIT6[[#This Row],[Ürün Kodu]],"")</f>
        <v/>
      </c>
      <c r="C67" s="7" t="str">
        <f>IFERROR(VLOOKUP(B67,ALIŞ!B:C,2,0),"")</f>
        <v/>
      </c>
      <c r="D67" s="7">
        <f>IFERROR(SUMIF(ALIŞ!$B:$B,STOK!$B:$B,ALIŞ!$F:$F),"")</f>
        <v>0</v>
      </c>
      <c r="E67" s="10">
        <f>IFERROR(SUMIF(ALIŞ!$B:$B,STOK!$B:$B,ALIŞ!$G:$G),"")</f>
        <v>0</v>
      </c>
      <c r="F67" s="7">
        <f>IFERROR(SUMIF(SATIŞ!$B:$B,STOK!$B:$B,SATIŞ!$F:$F)," " )</f>
        <v>0</v>
      </c>
      <c r="G67" s="10">
        <f>IFERROR(SUMIF(SATIŞ!$B:$B,STOK!$B:$B,SATIŞ!$G:$G),"")</f>
        <v>0</v>
      </c>
      <c r="H67" s="8">
        <f t="shared" si="4"/>
        <v>0</v>
      </c>
      <c r="I67" s="11">
        <f t="shared" si="5"/>
        <v>0</v>
      </c>
    </row>
    <row r="68" spans="1:9">
      <c r="A68" s="7" t="str">
        <f>IFERROR(URUN_KAYIT6[[#This Row],[Kategori]],"")</f>
        <v/>
      </c>
      <c r="B68" s="7" t="str">
        <f>IFERROR(URUN_KAYIT6[[#This Row],[Ürün Kodu]],"")</f>
        <v/>
      </c>
      <c r="C68" s="7" t="str">
        <f>IFERROR(VLOOKUP(B68,ALIŞ!B:C,2,0),"")</f>
        <v/>
      </c>
      <c r="D68" s="7">
        <f>IFERROR(SUMIF(ALIŞ!$B:$B,STOK!$B:$B,ALIŞ!$F:$F),"")</f>
        <v>0</v>
      </c>
      <c r="E68" s="10">
        <f>IFERROR(SUMIF(ALIŞ!$B:$B,STOK!$B:$B,ALIŞ!$G:$G),"")</f>
        <v>0</v>
      </c>
      <c r="F68" s="7">
        <f>IFERROR(SUMIF(SATIŞ!$B:$B,STOK!$B:$B,SATIŞ!$F:$F)," " )</f>
        <v>0</v>
      </c>
      <c r="G68" s="10">
        <f>IFERROR(SUMIF(SATIŞ!$B:$B,STOK!$B:$B,SATIŞ!$G:$G),"")</f>
        <v>0</v>
      </c>
      <c r="H68" s="8">
        <f t="shared" si="4"/>
        <v>0</v>
      </c>
      <c r="I68" s="11">
        <f t="shared" si="5"/>
        <v>0</v>
      </c>
    </row>
    <row r="69" spans="1:9">
      <c r="A69" s="7" t="str">
        <f>IFERROR(URUN_KAYIT6[[#This Row],[Kategori]],"")</f>
        <v/>
      </c>
      <c r="B69" s="7" t="str">
        <f>IFERROR(URUN_KAYIT6[[#This Row],[Ürün Kodu]],"")</f>
        <v/>
      </c>
      <c r="C69" s="7" t="str">
        <f>IFERROR(VLOOKUP(B69,ALIŞ!B:C,2,0),"")</f>
        <v/>
      </c>
      <c r="D69" s="7">
        <f>IFERROR(SUMIF(ALIŞ!$B:$B,STOK!$B:$B,ALIŞ!$F:$F),"")</f>
        <v>0</v>
      </c>
      <c r="E69" s="10">
        <f>IFERROR(SUMIF(ALIŞ!$B:$B,STOK!$B:$B,ALIŞ!$G:$G),"")</f>
        <v>0</v>
      </c>
      <c r="F69" s="7">
        <f>IFERROR(SUMIF(SATIŞ!$B:$B,STOK!$B:$B,SATIŞ!$F:$F)," " )</f>
        <v>0</v>
      </c>
      <c r="G69" s="10">
        <f>IFERROR(SUMIF(SATIŞ!$B:$B,STOK!$B:$B,SATIŞ!$G:$G),"")</f>
        <v>0</v>
      </c>
      <c r="H69" s="8">
        <f t="shared" si="4"/>
        <v>0</v>
      </c>
      <c r="I69" s="11">
        <f t="shared" si="5"/>
        <v>0</v>
      </c>
    </row>
    <row r="70" spans="1:9">
      <c r="A70" s="7" t="str">
        <f>IFERROR(URUN_KAYIT6[[#This Row],[Kategori]],"")</f>
        <v/>
      </c>
      <c r="B70" s="7" t="str">
        <f>IFERROR(URUN_KAYIT6[[#This Row],[Ürün Kodu]],"")</f>
        <v/>
      </c>
      <c r="C70" s="7" t="str">
        <f>IFERROR(VLOOKUP(B70,ALIŞ!B:C,2,0),"")</f>
        <v/>
      </c>
      <c r="D70" s="7">
        <f>IFERROR(SUMIF(ALIŞ!$B:$B,STOK!$B:$B,ALIŞ!$F:$F),"")</f>
        <v>0</v>
      </c>
      <c r="E70" s="10">
        <f>IFERROR(SUMIF(ALIŞ!$B:$B,STOK!$B:$B,ALIŞ!$G:$G),"")</f>
        <v>0</v>
      </c>
      <c r="F70" s="7">
        <f>IFERROR(SUMIF(SATIŞ!$B:$B,STOK!$B:$B,SATIŞ!$F:$F)," " )</f>
        <v>0</v>
      </c>
      <c r="G70" s="10">
        <f>IFERROR(SUMIF(SATIŞ!$B:$B,STOK!$B:$B,SATIŞ!$G:$G),"")</f>
        <v>0</v>
      </c>
      <c r="H70" s="8">
        <f t="shared" si="4"/>
        <v>0</v>
      </c>
      <c r="I70" s="11">
        <f t="shared" si="5"/>
        <v>0</v>
      </c>
    </row>
    <row r="71" spans="1:9">
      <c r="A71" s="7" t="str">
        <f>IFERROR(URUN_KAYIT6[[#This Row],[Kategori]],"")</f>
        <v/>
      </c>
      <c r="B71" s="7" t="str">
        <f>IFERROR(URUN_KAYIT6[[#This Row],[Ürün Kodu]],"")</f>
        <v/>
      </c>
      <c r="C71" s="7" t="str">
        <f>IFERROR(VLOOKUP(B71,ALIŞ!B:C,2,0),"")</f>
        <v/>
      </c>
      <c r="D71" s="7">
        <f>IFERROR(SUMIF(ALIŞ!$B:$B,STOK!$B:$B,ALIŞ!$F:$F),"")</f>
        <v>0</v>
      </c>
      <c r="E71" s="10">
        <f>IFERROR(SUMIF(ALIŞ!$B:$B,STOK!$B:$B,ALIŞ!$G:$G),"")</f>
        <v>0</v>
      </c>
      <c r="F71" s="7">
        <f>IFERROR(SUMIF(SATIŞ!$B:$B,STOK!$B:$B,SATIŞ!$F:$F)," " )</f>
        <v>0</v>
      </c>
      <c r="G71" s="10">
        <f>IFERROR(SUMIF(SATIŞ!$B:$B,STOK!$B:$B,SATIŞ!$G:$G),"")</f>
        <v>0</v>
      </c>
      <c r="H71" s="8">
        <f t="shared" si="4"/>
        <v>0</v>
      </c>
      <c r="I71" s="11">
        <f t="shared" si="5"/>
        <v>0</v>
      </c>
    </row>
    <row r="72" spans="1:9">
      <c r="A72" s="7" t="str">
        <f>IFERROR(URUN_KAYIT6[[#This Row],[Kategori]],"")</f>
        <v/>
      </c>
      <c r="B72" s="7" t="str">
        <f>IFERROR(URUN_KAYIT6[[#This Row],[Ürün Kodu]],"")</f>
        <v/>
      </c>
      <c r="C72" s="7" t="str">
        <f>IFERROR(VLOOKUP(B72,ALIŞ!B:C,2,0),"")</f>
        <v/>
      </c>
      <c r="D72" s="7">
        <f>IFERROR(SUMIF(ALIŞ!$B:$B,STOK!$B:$B,ALIŞ!$F:$F),"")</f>
        <v>0</v>
      </c>
      <c r="E72" s="10">
        <f>IFERROR(SUMIF(ALIŞ!$B:$B,STOK!$B:$B,ALIŞ!$G:$G),"")</f>
        <v>0</v>
      </c>
      <c r="F72" s="7">
        <f>IFERROR(SUMIF(SATIŞ!$B:$B,STOK!$B:$B,SATIŞ!$F:$F)," " )</f>
        <v>0</v>
      </c>
      <c r="G72" s="10">
        <f>IFERROR(SUMIF(SATIŞ!$B:$B,STOK!$B:$B,SATIŞ!$G:$G),"")</f>
        <v>0</v>
      </c>
      <c r="H72" s="8">
        <f t="shared" si="4"/>
        <v>0</v>
      </c>
      <c r="I72" s="11">
        <f t="shared" si="5"/>
        <v>0</v>
      </c>
    </row>
    <row r="73" spans="1:9">
      <c r="A73" s="7" t="str">
        <f>IFERROR(URUN_KAYIT6[[#This Row],[Kategori]],"")</f>
        <v/>
      </c>
      <c r="B73" s="7" t="str">
        <f>IFERROR(URUN_KAYIT6[[#This Row],[Ürün Kodu]],"")</f>
        <v/>
      </c>
      <c r="C73" s="7" t="str">
        <f>IFERROR(VLOOKUP(B73,ALIŞ!B:C,2,0),"")</f>
        <v/>
      </c>
      <c r="D73" s="7">
        <f>IFERROR(SUMIF(ALIŞ!$B:$B,STOK!$B:$B,ALIŞ!$F:$F),"")</f>
        <v>0</v>
      </c>
      <c r="E73" s="10">
        <f>IFERROR(SUMIF(ALIŞ!$B:$B,STOK!$B:$B,ALIŞ!$G:$G),"")</f>
        <v>0</v>
      </c>
      <c r="F73" s="7">
        <f>IFERROR(SUMIF(SATIŞ!$B:$B,STOK!$B:$B,SATIŞ!$F:$F)," " )</f>
        <v>0</v>
      </c>
      <c r="G73" s="10">
        <f>IFERROR(SUMIF(SATIŞ!$B:$B,STOK!$B:$B,SATIŞ!$G:$G),"")</f>
        <v>0</v>
      </c>
      <c r="H73" s="8">
        <f t="shared" si="4"/>
        <v>0</v>
      </c>
      <c r="I73" s="11">
        <f t="shared" si="5"/>
        <v>0</v>
      </c>
    </row>
    <row r="74" spans="1:9">
      <c r="A74" s="7" t="str">
        <f>IFERROR(URUN_KAYIT6[[#This Row],[Kategori]],"")</f>
        <v/>
      </c>
      <c r="B74" s="7" t="str">
        <f>IFERROR(URUN_KAYIT6[[#This Row],[Ürün Kodu]],"")</f>
        <v/>
      </c>
      <c r="C74" s="7" t="str">
        <f>IFERROR(VLOOKUP(B74,ALIŞ!B:C,2,0),"")</f>
        <v/>
      </c>
      <c r="D74" s="7">
        <f>IFERROR(SUMIF(ALIŞ!$B:$B,STOK!$B:$B,ALIŞ!$F:$F),"")</f>
        <v>0</v>
      </c>
      <c r="E74" s="10">
        <f>IFERROR(SUMIF(ALIŞ!$B:$B,STOK!$B:$B,ALIŞ!$G:$G),"")</f>
        <v>0</v>
      </c>
      <c r="F74" s="7">
        <f>IFERROR(SUMIF(SATIŞ!$B:$B,STOK!$B:$B,SATIŞ!$F:$F)," " )</f>
        <v>0</v>
      </c>
      <c r="G74" s="10">
        <f>IFERROR(SUMIF(SATIŞ!$B:$B,STOK!$B:$B,SATIŞ!$G:$G),"")</f>
        <v>0</v>
      </c>
      <c r="H74" s="8">
        <f t="shared" si="4"/>
        <v>0</v>
      </c>
      <c r="I74" s="11">
        <f t="shared" si="5"/>
        <v>0</v>
      </c>
    </row>
    <row r="75" spans="1:9">
      <c r="A75" s="7" t="str">
        <f>IFERROR(URUN_KAYIT6[[#This Row],[Kategori]],"")</f>
        <v/>
      </c>
      <c r="B75" s="7" t="str">
        <f>IFERROR(URUN_KAYIT6[[#This Row],[Ürün Kodu]],"")</f>
        <v/>
      </c>
      <c r="C75" s="7" t="str">
        <f>IFERROR(VLOOKUP(B75,ALIŞ!B:C,2,0),"")</f>
        <v/>
      </c>
      <c r="D75" s="7">
        <f>IFERROR(SUMIF(ALIŞ!$B:$B,STOK!$B:$B,ALIŞ!$F:$F),"")</f>
        <v>0</v>
      </c>
      <c r="E75" s="10">
        <f>IFERROR(SUMIF(ALIŞ!$B:$B,STOK!$B:$B,ALIŞ!$G:$G),"")</f>
        <v>0</v>
      </c>
      <c r="F75" s="7">
        <f>IFERROR(SUMIF(SATIŞ!$B:$B,STOK!$B:$B,SATIŞ!$F:$F)," " )</f>
        <v>0</v>
      </c>
      <c r="G75" s="10">
        <f>IFERROR(SUMIF(SATIŞ!$B:$B,STOK!$B:$B,SATIŞ!$G:$G),"")</f>
        <v>0</v>
      </c>
      <c r="H75" s="8">
        <f t="shared" si="4"/>
        <v>0</v>
      </c>
      <c r="I75" s="11">
        <f t="shared" si="5"/>
        <v>0</v>
      </c>
    </row>
    <row r="76" spans="1:9">
      <c r="A76" s="7" t="str">
        <f>IFERROR(URUN_KAYIT6[[#This Row],[Kategori]],"")</f>
        <v/>
      </c>
      <c r="B76" s="7" t="str">
        <f>IFERROR(URUN_KAYIT6[[#This Row],[Ürün Kodu]],"")</f>
        <v/>
      </c>
      <c r="C76" s="7" t="str">
        <f>IFERROR(VLOOKUP(B76,ALIŞ!B:C,2,0),"")</f>
        <v/>
      </c>
      <c r="D76" s="7">
        <f>IFERROR(SUMIF(ALIŞ!$B:$B,STOK!$B:$B,ALIŞ!$F:$F),"")</f>
        <v>0</v>
      </c>
      <c r="E76" s="10">
        <f>IFERROR(SUMIF(ALIŞ!$B:$B,STOK!$B:$B,ALIŞ!$G:$G),"")</f>
        <v>0</v>
      </c>
      <c r="F76" s="7">
        <f>IFERROR(SUMIF(SATIŞ!$B:$B,STOK!$B:$B,SATIŞ!$F:$F)," " )</f>
        <v>0</v>
      </c>
      <c r="G76" s="10">
        <f>IFERROR(SUMIF(SATIŞ!$B:$B,STOK!$B:$B,SATIŞ!$G:$G),"")</f>
        <v>0</v>
      </c>
      <c r="H76" s="8">
        <f t="shared" si="4"/>
        <v>0</v>
      </c>
      <c r="I76" s="11">
        <f t="shared" si="5"/>
        <v>0</v>
      </c>
    </row>
    <row r="77" spans="1:9">
      <c r="A77" s="7" t="str">
        <f>IFERROR(URUN_KAYIT6[[#This Row],[Kategori]],"")</f>
        <v/>
      </c>
      <c r="B77" s="7" t="str">
        <f>IFERROR(URUN_KAYIT6[[#This Row],[Ürün Kodu]],"")</f>
        <v/>
      </c>
      <c r="C77" s="7" t="str">
        <f>IFERROR(VLOOKUP(B77,ALIŞ!B:C,2,0),"")</f>
        <v/>
      </c>
      <c r="D77" s="7">
        <f>IFERROR(SUMIF(ALIŞ!$B:$B,STOK!$B:$B,ALIŞ!$F:$F),"")</f>
        <v>0</v>
      </c>
      <c r="E77" s="10">
        <f>IFERROR(SUMIF(ALIŞ!$B:$B,STOK!$B:$B,ALIŞ!$G:$G),"")</f>
        <v>0</v>
      </c>
      <c r="F77" s="7">
        <f>IFERROR(SUMIF(SATIŞ!$B:$B,STOK!$B:$B,SATIŞ!$F:$F)," " )</f>
        <v>0</v>
      </c>
      <c r="G77" s="10">
        <f>IFERROR(SUMIF(SATIŞ!$B:$B,STOK!$B:$B,SATIŞ!$G:$G),"")</f>
        <v>0</v>
      </c>
      <c r="H77" s="8">
        <f t="shared" si="4"/>
        <v>0</v>
      </c>
      <c r="I77" s="11">
        <f t="shared" si="5"/>
        <v>0</v>
      </c>
    </row>
    <row r="78" spans="1:9">
      <c r="A78" s="7" t="str">
        <f>IFERROR(URUN_KAYIT6[[#This Row],[Kategori]],"")</f>
        <v/>
      </c>
      <c r="B78" s="7" t="str">
        <f>IFERROR(URUN_KAYIT6[[#This Row],[Ürün Kodu]],"")</f>
        <v/>
      </c>
      <c r="C78" s="7" t="str">
        <f>IFERROR(VLOOKUP(B78,ALIŞ!B:C,2,0),"")</f>
        <v/>
      </c>
      <c r="D78" s="7">
        <f>IFERROR(SUMIF(ALIŞ!$B:$B,STOK!$B:$B,ALIŞ!$F:$F),"")</f>
        <v>0</v>
      </c>
      <c r="E78" s="10">
        <f>IFERROR(SUMIF(ALIŞ!$B:$B,STOK!$B:$B,ALIŞ!$G:$G),"")</f>
        <v>0</v>
      </c>
      <c r="F78" s="7">
        <f>IFERROR(SUMIF(SATIŞ!$B:$B,STOK!$B:$B,SATIŞ!$F:$F)," " )</f>
        <v>0</v>
      </c>
      <c r="G78" s="10">
        <f>IFERROR(SUMIF(SATIŞ!$B:$B,STOK!$B:$B,SATIŞ!$G:$G),"")</f>
        <v>0</v>
      </c>
      <c r="H78" s="8">
        <f t="shared" si="4"/>
        <v>0</v>
      </c>
      <c r="I78" s="11">
        <f t="shared" si="5"/>
        <v>0</v>
      </c>
    </row>
    <row r="79" spans="1:9">
      <c r="A79" s="7" t="str">
        <f>IFERROR(URUN_KAYIT6[[#This Row],[Kategori]],"")</f>
        <v/>
      </c>
      <c r="B79" s="7" t="str">
        <f>IFERROR(URUN_KAYIT6[[#This Row],[Ürün Kodu]],"")</f>
        <v/>
      </c>
      <c r="C79" s="7" t="str">
        <f>IFERROR(VLOOKUP(B79,ALIŞ!B:C,2,0),"")</f>
        <v/>
      </c>
      <c r="D79" s="7">
        <f>IFERROR(SUMIF(ALIŞ!$B:$B,STOK!$B:$B,ALIŞ!$F:$F),"")</f>
        <v>0</v>
      </c>
      <c r="E79" s="10">
        <f>IFERROR(SUMIF(ALIŞ!$B:$B,STOK!$B:$B,ALIŞ!$G:$G),"")</f>
        <v>0</v>
      </c>
      <c r="F79" s="7">
        <f>IFERROR(SUMIF(SATIŞ!$B:$B,STOK!$B:$B,SATIŞ!$F:$F)," " )</f>
        <v>0</v>
      </c>
      <c r="G79" s="10">
        <f>IFERROR(SUMIF(SATIŞ!$B:$B,STOK!$B:$B,SATIŞ!$G:$G),"")</f>
        <v>0</v>
      </c>
      <c r="H79" s="8">
        <f t="shared" si="4"/>
        <v>0</v>
      </c>
      <c r="I79" s="11">
        <f t="shared" si="5"/>
        <v>0</v>
      </c>
    </row>
    <row r="80" spans="1:9">
      <c r="A80" s="7" t="str">
        <f>IFERROR(URUN_KAYIT6[[#This Row],[Kategori]],"")</f>
        <v/>
      </c>
      <c r="B80" s="7" t="str">
        <f>IFERROR(URUN_KAYIT6[[#This Row],[Ürün Kodu]],"")</f>
        <v/>
      </c>
      <c r="C80" s="7" t="str">
        <f>IFERROR(VLOOKUP(B80,ALIŞ!B:C,2,0),"")</f>
        <v/>
      </c>
      <c r="D80" s="7">
        <f>IFERROR(SUMIF(ALIŞ!$B:$B,STOK!$B:$B,ALIŞ!$F:$F),"")</f>
        <v>0</v>
      </c>
      <c r="E80" s="10">
        <f>IFERROR(SUMIF(ALIŞ!$B:$B,STOK!$B:$B,ALIŞ!$G:$G),"")</f>
        <v>0</v>
      </c>
      <c r="F80" s="7">
        <f>IFERROR(SUMIF(SATIŞ!$B:$B,STOK!$B:$B,SATIŞ!$F:$F)," " )</f>
        <v>0</v>
      </c>
      <c r="G80" s="10">
        <f>IFERROR(SUMIF(SATIŞ!$B:$B,STOK!$B:$B,SATIŞ!$G:$G),"")</f>
        <v>0</v>
      </c>
      <c r="H80" s="8">
        <f t="shared" si="4"/>
        <v>0</v>
      </c>
      <c r="I80" s="11">
        <f t="shared" si="5"/>
        <v>0</v>
      </c>
    </row>
    <row r="81" spans="1:9">
      <c r="A81" s="7" t="str">
        <f>IFERROR(URUN_KAYIT6[[#This Row],[Kategori]],"")</f>
        <v/>
      </c>
      <c r="B81" s="7" t="str">
        <f>IFERROR(URUN_KAYIT6[[#This Row],[Ürün Kodu]],"")</f>
        <v/>
      </c>
      <c r="C81" s="7" t="str">
        <f>IFERROR(VLOOKUP(B81,ALIŞ!B:C,2,0),"")</f>
        <v/>
      </c>
      <c r="D81" s="7">
        <f>IFERROR(SUMIF(ALIŞ!$B:$B,STOK!$B:$B,ALIŞ!$F:$F),"")</f>
        <v>0</v>
      </c>
      <c r="E81" s="10">
        <f>IFERROR(SUMIF(ALIŞ!$B:$B,STOK!$B:$B,ALIŞ!$G:$G),"")</f>
        <v>0</v>
      </c>
      <c r="F81" s="7">
        <f>IFERROR(SUMIF(SATIŞ!$B:$B,STOK!$B:$B,SATIŞ!$F:$F)," " )</f>
        <v>0</v>
      </c>
      <c r="G81" s="10">
        <f>IFERROR(SUMIF(SATIŞ!$B:$B,STOK!$B:$B,SATIŞ!$G:$G),"")</f>
        <v>0</v>
      </c>
      <c r="H81" s="8">
        <f t="shared" si="4"/>
        <v>0</v>
      </c>
      <c r="I81" s="11">
        <f t="shared" si="5"/>
        <v>0</v>
      </c>
    </row>
    <row r="82" spans="1:9">
      <c r="A82" s="7" t="str">
        <f>IFERROR(URUN_KAYIT6[[#This Row],[Kategori]],"")</f>
        <v/>
      </c>
      <c r="B82" s="7" t="str">
        <f>IFERROR(URUN_KAYIT6[[#This Row],[Ürün Kodu]],"")</f>
        <v/>
      </c>
      <c r="C82" s="7" t="str">
        <f>IFERROR(VLOOKUP(B82,ALIŞ!B:C,2,0),"")</f>
        <v/>
      </c>
      <c r="D82" s="7">
        <f>IFERROR(SUMIF(ALIŞ!$B:$B,STOK!$B:$B,ALIŞ!$F:$F),"")</f>
        <v>0</v>
      </c>
      <c r="E82" s="10">
        <f>IFERROR(SUMIF(ALIŞ!$B:$B,STOK!$B:$B,ALIŞ!$G:$G),"")</f>
        <v>0</v>
      </c>
      <c r="F82" s="7">
        <f>IFERROR(SUMIF(SATIŞ!$B:$B,STOK!$B:$B,SATIŞ!$F:$F)," " )</f>
        <v>0</v>
      </c>
      <c r="G82" s="10">
        <f>IFERROR(SUMIF(SATIŞ!$B:$B,STOK!$B:$B,SATIŞ!$G:$G),"")</f>
        <v>0</v>
      </c>
      <c r="H82" s="8">
        <f t="shared" si="4"/>
        <v>0</v>
      </c>
      <c r="I82" s="11">
        <f t="shared" si="5"/>
        <v>0</v>
      </c>
    </row>
    <row r="83" spans="1:9">
      <c r="A83" s="7" t="str">
        <f>IFERROR(URUN_KAYIT6[[#This Row],[Kategori]],"")</f>
        <v/>
      </c>
      <c r="B83" s="7" t="str">
        <f>IFERROR(URUN_KAYIT6[[#This Row],[Ürün Kodu]],"")</f>
        <v/>
      </c>
      <c r="C83" s="7" t="str">
        <f>IFERROR(VLOOKUP(B83,ALIŞ!B:C,2,0),"")</f>
        <v/>
      </c>
      <c r="D83" s="7">
        <f>IFERROR(SUMIF(ALIŞ!$B:$B,STOK!$B:$B,ALIŞ!$F:$F),"")</f>
        <v>0</v>
      </c>
      <c r="E83" s="10">
        <f>IFERROR(SUMIF(ALIŞ!$B:$B,STOK!$B:$B,ALIŞ!$G:$G),"")</f>
        <v>0</v>
      </c>
      <c r="F83" s="7">
        <f>IFERROR(SUMIF(SATIŞ!$B:$B,STOK!$B:$B,SATIŞ!$F:$F)," " )</f>
        <v>0</v>
      </c>
      <c r="G83" s="10">
        <f>IFERROR(SUMIF(SATIŞ!$B:$B,STOK!$B:$B,SATIŞ!$G:$G),"")</f>
        <v>0</v>
      </c>
      <c r="H83" s="8">
        <f t="shared" si="4"/>
        <v>0</v>
      </c>
      <c r="I83" s="11">
        <f t="shared" si="5"/>
        <v>0</v>
      </c>
    </row>
    <row r="84" spans="1:9">
      <c r="A84" s="7" t="str">
        <f>IFERROR(URUN_KAYIT6[[#This Row],[Kategori]],"")</f>
        <v/>
      </c>
      <c r="B84" s="7" t="str">
        <f>IFERROR(URUN_KAYIT6[[#This Row],[Ürün Kodu]],"")</f>
        <v/>
      </c>
      <c r="C84" s="7" t="str">
        <f>IFERROR(VLOOKUP(B84,ALIŞ!B:C,2,0),"")</f>
        <v/>
      </c>
      <c r="D84" s="7">
        <f>IFERROR(SUMIF(ALIŞ!$B:$B,STOK!$B:$B,ALIŞ!$F:$F),"")</f>
        <v>0</v>
      </c>
      <c r="E84" s="10">
        <f>IFERROR(SUMIF(ALIŞ!$B:$B,STOK!$B:$B,ALIŞ!$G:$G),"")</f>
        <v>0</v>
      </c>
      <c r="F84" s="7">
        <f>IFERROR(SUMIF(SATIŞ!$B:$B,STOK!$B:$B,SATIŞ!$F:$F)," " )</f>
        <v>0</v>
      </c>
      <c r="G84" s="10">
        <f>IFERROR(SUMIF(SATIŞ!$B:$B,STOK!$B:$B,SATIŞ!$G:$G),"")</f>
        <v>0</v>
      </c>
      <c r="H84" s="8">
        <f t="shared" si="4"/>
        <v>0</v>
      </c>
      <c r="I84" s="11">
        <f t="shared" si="5"/>
        <v>0</v>
      </c>
    </row>
    <row r="85" spans="1:9">
      <c r="A85" s="7" t="str">
        <f>IFERROR(URUN_KAYIT6[[#This Row],[Kategori]],"")</f>
        <v/>
      </c>
      <c r="B85" s="7" t="str">
        <f>IFERROR(URUN_KAYIT6[[#This Row],[Ürün Kodu]],"")</f>
        <v/>
      </c>
      <c r="C85" s="7" t="str">
        <f>IFERROR(VLOOKUP(B85,ALIŞ!B:C,2,0),"")</f>
        <v/>
      </c>
      <c r="D85" s="7">
        <f>IFERROR(SUMIF(ALIŞ!$B:$B,STOK!$B:$B,ALIŞ!$F:$F),"")</f>
        <v>0</v>
      </c>
      <c r="E85" s="10">
        <f>IFERROR(SUMIF(ALIŞ!$B:$B,STOK!$B:$B,ALIŞ!$G:$G),"")</f>
        <v>0</v>
      </c>
      <c r="F85" s="7">
        <f>IFERROR(SUMIF(SATIŞ!$B:$B,STOK!$B:$B,SATIŞ!$F:$F)," " )</f>
        <v>0</v>
      </c>
      <c r="G85" s="10">
        <f>IFERROR(SUMIF(SATIŞ!$B:$B,STOK!$B:$B,SATIŞ!$G:$G),"")</f>
        <v>0</v>
      </c>
      <c r="H85" s="8">
        <f t="shared" si="4"/>
        <v>0</v>
      </c>
      <c r="I85" s="11">
        <f t="shared" si="5"/>
        <v>0</v>
      </c>
    </row>
    <row r="86" spans="1:9">
      <c r="A86" s="7" t="str">
        <f>IFERROR(URUN_KAYIT6[[#This Row],[Kategori]],"")</f>
        <v/>
      </c>
      <c r="B86" s="7" t="str">
        <f>IFERROR(URUN_KAYIT6[[#This Row],[Ürün Kodu]],"")</f>
        <v/>
      </c>
      <c r="C86" s="7" t="str">
        <f>IFERROR(VLOOKUP(B86,ALIŞ!B:C,2,0),"")</f>
        <v/>
      </c>
      <c r="D86" s="7">
        <f>IFERROR(SUMIF(ALIŞ!$B:$B,STOK!$B:$B,ALIŞ!$F:$F),"")</f>
        <v>0</v>
      </c>
      <c r="E86" s="10">
        <f>IFERROR(SUMIF(ALIŞ!$B:$B,STOK!$B:$B,ALIŞ!$G:$G),"")</f>
        <v>0</v>
      </c>
      <c r="F86" s="7">
        <f>IFERROR(SUMIF(SATIŞ!$B:$B,STOK!$B:$B,SATIŞ!$F:$F)," " )</f>
        <v>0</v>
      </c>
      <c r="G86" s="10">
        <f>IFERROR(SUMIF(SATIŞ!$B:$B,STOK!$B:$B,SATIŞ!$G:$G),"")</f>
        <v>0</v>
      </c>
      <c r="H86" s="8">
        <f t="shared" si="4"/>
        <v>0</v>
      </c>
      <c r="I86" s="11">
        <f t="shared" si="5"/>
        <v>0</v>
      </c>
    </row>
    <row r="87" spans="1:9">
      <c r="A87" s="7" t="str">
        <f>IFERROR(URUN_KAYIT6[[#This Row],[Kategori]],"")</f>
        <v/>
      </c>
      <c r="B87" s="7" t="str">
        <f>IFERROR(URUN_KAYIT6[[#This Row],[Ürün Kodu]],"")</f>
        <v/>
      </c>
      <c r="C87" s="7" t="str">
        <f>IFERROR(VLOOKUP(B87,ALIŞ!B:C,2,0),"")</f>
        <v/>
      </c>
      <c r="D87" s="7">
        <f>IFERROR(SUMIF(ALIŞ!$B:$B,STOK!$B:$B,ALIŞ!$F:$F),"")</f>
        <v>0</v>
      </c>
      <c r="E87" s="10">
        <f>IFERROR(SUMIF(ALIŞ!$B:$B,STOK!$B:$B,ALIŞ!$G:$G),"")</f>
        <v>0</v>
      </c>
      <c r="F87" s="7">
        <f>IFERROR(SUMIF(SATIŞ!$B:$B,STOK!$B:$B,SATIŞ!$F:$F)," " )</f>
        <v>0</v>
      </c>
      <c r="G87" s="10">
        <f>IFERROR(SUMIF(SATIŞ!$B:$B,STOK!$B:$B,SATIŞ!$G:$G),"")</f>
        <v>0</v>
      </c>
      <c r="H87" s="8">
        <f t="shared" si="4"/>
        <v>0</v>
      </c>
      <c r="I87" s="11">
        <f t="shared" si="5"/>
        <v>0</v>
      </c>
    </row>
    <row r="88" spans="1:9">
      <c r="A88" s="7" t="str">
        <f>IFERROR(URUN_KAYIT6[[#This Row],[Kategori]],"")</f>
        <v/>
      </c>
      <c r="B88" s="7" t="str">
        <f>IFERROR(URUN_KAYIT6[[#This Row],[Ürün Kodu]],"")</f>
        <v/>
      </c>
      <c r="C88" s="7" t="str">
        <f>IFERROR(VLOOKUP(B88,ALIŞ!B:C,2,0),"")</f>
        <v/>
      </c>
      <c r="D88" s="7">
        <f>IFERROR(SUMIF(ALIŞ!$B:$B,STOK!$B:$B,ALIŞ!$F:$F),"")</f>
        <v>0</v>
      </c>
      <c r="E88" s="10">
        <f>IFERROR(SUMIF(ALIŞ!$B:$B,STOK!$B:$B,ALIŞ!$G:$G),"")</f>
        <v>0</v>
      </c>
      <c r="F88" s="7">
        <f>IFERROR(SUMIF(SATIŞ!$B:$B,STOK!$B:$B,SATIŞ!$F:$F)," " )</f>
        <v>0</v>
      </c>
      <c r="G88" s="10">
        <f>IFERROR(SUMIF(SATIŞ!$B:$B,STOK!$B:$B,SATIŞ!$G:$G),"")</f>
        <v>0</v>
      </c>
      <c r="H88" s="8">
        <f t="shared" si="4"/>
        <v>0</v>
      </c>
      <c r="I88" s="11">
        <f t="shared" si="5"/>
        <v>0</v>
      </c>
    </row>
    <row r="89" spans="1:9">
      <c r="A89" s="7" t="str">
        <f>IFERROR(URUN_KAYIT6[[#This Row],[Kategori]],"")</f>
        <v/>
      </c>
      <c r="B89" s="7" t="str">
        <f>IFERROR(URUN_KAYIT6[[#This Row],[Ürün Kodu]],"")</f>
        <v/>
      </c>
      <c r="C89" s="7" t="str">
        <f>IFERROR(VLOOKUP(B89,ALIŞ!B:C,2,0),"")</f>
        <v/>
      </c>
      <c r="D89" s="7">
        <f>IFERROR(SUMIF(ALIŞ!$B:$B,STOK!$B:$B,ALIŞ!$F:$F),"")</f>
        <v>0</v>
      </c>
      <c r="E89" s="10">
        <f>IFERROR(SUMIF(ALIŞ!$B:$B,STOK!$B:$B,ALIŞ!$G:$G),"")</f>
        <v>0</v>
      </c>
      <c r="F89" s="7">
        <f>IFERROR(SUMIF(SATIŞ!$B:$B,STOK!$B:$B,SATIŞ!$F:$F)," " )</f>
        <v>0</v>
      </c>
      <c r="G89" s="10">
        <f>IFERROR(SUMIF(SATIŞ!$B:$B,STOK!$B:$B,SATIŞ!$G:$G),"")</f>
        <v>0</v>
      </c>
      <c r="H89" s="8">
        <f t="shared" si="4"/>
        <v>0</v>
      </c>
      <c r="I89" s="11">
        <f t="shared" si="5"/>
        <v>0</v>
      </c>
    </row>
    <row r="90" spans="1:9">
      <c r="A90" s="7" t="str">
        <f>IFERROR(URUN_KAYIT6[[#This Row],[Kategori]],"")</f>
        <v/>
      </c>
      <c r="B90" s="7" t="str">
        <f>IFERROR(URUN_KAYIT6[[#This Row],[Ürün Kodu]],"")</f>
        <v/>
      </c>
      <c r="C90" s="7" t="str">
        <f>IFERROR(VLOOKUP(B90,ALIŞ!B:C,2,0),"")</f>
        <v/>
      </c>
      <c r="D90" s="7">
        <f>IFERROR(SUMIF(ALIŞ!$B:$B,STOK!$B:$B,ALIŞ!$F:$F),"")</f>
        <v>0</v>
      </c>
      <c r="E90" s="10">
        <f>IFERROR(SUMIF(ALIŞ!$B:$B,STOK!$B:$B,ALIŞ!$G:$G),"")</f>
        <v>0</v>
      </c>
      <c r="F90" s="7">
        <f>IFERROR(SUMIF(SATIŞ!$B:$B,STOK!$B:$B,SATIŞ!$F:$F)," " )</f>
        <v>0</v>
      </c>
      <c r="G90" s="10">
        <f>IFERROR(SUMIF(SATIŞ!$B:$B,STOK!$B:$B,SATIŞ!$G:$G),"")</f>
        <v>0</v>
      </c>
      <c r="H90" s="8">
        <f t="shared" si="4"/>
        <v>0</v>
      </c>
      <c r="I90" s="11">
        <f t="shared" si="5"/>
        <v>0</v>
      </c>
    </row>
    <row r="91" spans="1:9">
      <c r="A91" s="7" t="str">
        <f>IFERROR(URUN_KAYIT6[[#This Row],[Kategori]],"")</f>
        <v/>
      </c>
      <c r="B91" s="7" t="str">
        <f>IFERROR(URUN_KAYIT6[[#This Row],[Ürün Kodu]],"")</f>
        <v/>
      </c>
      <c r="C91" s="7" t="str">
        <f>IFERROR(VLOOKUP(B91,ALIŞ!B:C,2,0),"")</f>
        <v/>
      </c>
      <c r="D91" s="7">
        <f>IFERROR(SUMIF(ALIŞ!$B:$B,STOK!$B:$B,ALIŞ!$F:$F),"")</f>
        <v>0</v>
      </c>
      <c r="E91" s="10">
        <f>IFERROR(SUMIF(ALIŞ!$B:$B,STOK!$B:$B,ALIŞ!$G:$G),"")</f>
        <v>0</v>
      </c>
      <c r="F91" s="7">
        <f>IFERROR(SUMIF(SATIŞ!$B:$B,STOK!$B:$B,SATIŞ!$F:$F)," " )</f>
        <v>0</v>
      </c>
      <c r="G91" s="10">
        <f>IFERROR(SUMIF(SATIŞ!$B:$B,STOK!$B:$B,SATIŞ!$G:$G),"")</f>
        <v>0</v>
      </c>
      <c r="H91" s="8">
        <f t="shared" si="4"/>
        <v>0</v>
      </c>
      <c r="I91" s="11">
        <f t="shared" si="5"/>
        <v>0</v>
      </c>
    </row>
    <row r="92" spans="1:9">
      <c r="A92" s="7" t="str">
        <f>IFERROR(URUN_KAYIT6[[#This Row],[Kategori]],"")</f>
        <v/>
      </c>
      <c r="B92" s="7" t="str">
        <f>IFERROR(URUN_KAYIT6[[#This Row],[Ürün Kodu]],"")</f>
        <v/>
      </c>
      <c r="C92" s="7" t="str">
        <f>IFERROR(VLOOKUP(B92,ALIŞ!B:C,2,0),"")</f>
        <v/>
      </c>
      <c r="D92" s="7">
        <f>IFERROR(SUMIF(ALIŞ!$B:$B,STOK!$B:$B,ALIŞ!$F:$F),"")</f>
        <v>0</v>
      </c>
      <c r="E92" s="10">
        <f>IFERROR(SUMIF(ALIŞ!$B:$B,STOK!$B:$B,ALIŞ!$G:$G),"")</f>
        <v>0</v>
      </c>
      <c r="F92" s="7">
        <f>IFERROR(SUMIF(SATIŞ!$B:$B,STOK!$B:$B,SATIŞ!$F:$F)," " )</f>
        <v>0</v>
      </c>
      <c r="G92" s="10">
        <f>IFERROR(SUMIF(SATIŞ!$B:$B,STOK!$B:$B,SATIŞ!$G:$G),"")</f>
        <v>0</v>
      </c>
      <c r="H92" s="8">
        <f t="shared" si="4"/>
        <v>0</v>
      </c>
      <c r="I92" s="11">
        <f t="shared" si="5"/>
        <v>0</v>
      </c>
    </row>
    <row r="93" spans="1:9">
      <c r="A93" s="7" t="str">
        <f>IFERROR(URUN_KAYIT6[[#This Row],[Kategori]],"")</f>
        <v/>
      </c>
      <c r="B93" s="7" t="str">
        <f>IFERROR(URUN_KAYIT6[[#This Row],[Ürün Kodu]],"")</f>
        <v/>
      </c>
      <c r="C93" s="7" t="str">
        <f>IFERROR(VLOOKUP(B93,ALIŞ!B:C,2,0),"")</f>
        <v/>
      </c>
      <c r="D93" s="7">
        <f>IFERROR(SUMIF(ALIŞ!$B:$B,STOK!$B:$B,ALIŞ!$F:$F),"")</f>
        <v>0</v>
      </c>
      <c r="E93" s="10">
        <f>IFERROR(SUMIF(ALIŞ!$B:$B,STOK!$B:$B,ALIŞ!$G:$G),"")</f>
        <v>0</v>
      </c>
      <c r="F93" s="7">
        <f>IFERROR(SUMIF(SATIŞ!$B:$B,STOK!$B:$B,SATIŞ!$F:$F)," " )</f>
        <v>0</v>
      </c>
      <c r="G93" s="10">
        <f>IFERROR(SUMIF(SATIŞ!$B:$B,STOK!$B:$B,SATIŞ!$G:$G),"")</f>
        <v>0</v>
      </c>
      <c r="H93" s="8">
        <f t="shared" si="4"/>
        <v>0</v>
      </c>
      <c r="I93" s="11">
        <f t="shared" si="5"/>
        <v>0</v>
      </c>
    </row>
    <row r="94" spans="1:9">
      <c r="A94" s="7" t="str">
        <f>IFERROR(URUN_KAYIT6[[#This Row],[Kategori]],"")</f>
        <v/>
      </c>
      <c r="B94" s="7" t="str">
        <f>IFERROR(URUN_KAYIT6[[#This Row],[Ürün Kodu]],"")</f>
        <v/>
      </c>
      <c r="C94" s="7" t="str">
        <f>IFERROR(VLOOKUP(B94,ALIŞ!B:C,2,0),"")</f>
        <v/>
      </c>
      <c r="D94" s="7">
        <f>IFERROR(SUMIF(ALIŞ!$B:$B,STOK!$B:$B,ALIŞ!$F:$F),"")</f>
        <v>0</v>
      </c>
      <c r="E94" s="10">
        <f>IFERROR(SUMIF(ALIŞ!$B:$B,STOK!$B:$B,ALIŞ!$G:$G),"")</f>
        <v>0</v>
      </c>
      <c r="F94" s="7">
        <f>IFERROR(SUMIF(SATIŞ!$B:$B,STOK!$B:$B,SATIŞ!$F:$F)," " )</f>
        <v>0</v>
      </c>
      <c r="G94" s="10">
        <f>IFERROR(SUMIF(SATIŞ!$B:$B,STOK!$B:$B,SATIŞ!$G:$G),"")</f>
        <v>0</v>
      </c>
      <c r="H94" s="8">
        <f t="shared" si="4"/>
        <v>0</v>
      </c>
      <c r="I94" s="11">
        <f t="shared" si="5"/>
        <v>0</v>
      </c>
    </row>
    <row r="95" spans="1:9">
      <c r="A95" s="7" t="str">
        <f>IFERROR(URUN_KAYIT6[[#This Row],[Kategori]],"")</f>
        <v/>
      </c>
      <c r="B95" s="7" t="str">
        <f>IFERROR(URUN_KAYIT6[[#This Row],[Ürün Kodu]],"")</f>
        <v/>
      </c>
      <c r="C95" s="7" t="str">
        <f>IFERROR(VLOOKUP(B95,ALIŞ!B:C,2,0),"")</f>
        <v/>
      </c>
      <c r="D95" s="7">
        <f>IFERROR(SUMIF(ALIŞ!$B:$B,STOK!$B:$B,ALIŞ!$F:$F),"")</f>
        <v>0</v>
      </c>
      <c r="E95" s="10">
        <f>IFERROR(SUMIF(ALIŞ!$B:$B,STOK!$B:$B,ALIŞ!$G:$G),"")</f>
        <v>0</v>
      </c>
      <c r="F95" s="7">
        <f>IFERROR(SUMIF(SATIŞ!$B:$B,STOK!$B:$B,SATIŞ!$F:$F)," " )</f>
        <v>0</v>
      </c>
      <c r="G95" s="10">
        <f>IFERROR(SUMIF(SATIŞ!$B:$B,STOK!$B:$B,SATIŞ!$G:$G),"")</f>
        <v>0</v>
      </c>
      <c r="H95" s="8">
        <f t="shared" si="4"/>
        <v>0</v>
      </c>
      <c r="I95" s="11">
        <f t="shared" si="5"/>
        <v>0</v>
      </c>
    </row>
    <row r="96" spans="1:9">
      <c r="A96" s="7" t="str">
        <f>IFERROR(URUN_KAYIT6[[#This Row],[Kategori]],"")</f>
        <v/>
      </c>
      <c r="B96" s="7" t="str">
        <f>IFERROR(URUN_KAYIT6[[#This Row],[Ürün Kodu]],"")</f>
        <v/>
      </c>
      <c r="C96" s="7" t="str">
        <f>IFERROR(VLOOKUP(B96,ALIŞ!B:C,2,0),"")</f>
        <v/>
      </c>
      <c r="D96" s="7">
        <f>IFERROR(SUMIF(ALIŞ!$B:$B,STOK!$B:$B,ALIŞ!$F:$F),"")</f>
        <v>0</v>
      </c>
      <c r="E96" s="10">
        <f>IFERROR(SUMIF(ALIŞ!$B:$B,STOK!$B:$B,ALIŞ!$G:$G),"")</f>
        <v>0</v>
      </c>
      <c r="F96" s="7">
        <f>IFERROR(SUMIF(SATIŞ!$B:$B,STOK!$B:$B,SATIŞ!$F:$F)," " )</f>
        <v>0</v>
      </c>
      <c r="G96" s="10">
        <f>IFERROR(SUMIF(SATIŞ!$B:$B,STOK!$B:$B,SATIŞ!$G:$G),"")</f>
        <v>0</v>
      </c>
      <c r="H96" s="8">
        <f t="shared" si="4"/>
        <v>0</v>
      </c>
      <c r="I96" s="11">
        <f t="shared" si="5"/>
        <v>0</v>
      </c>
    </row>
    <row r="97" spans="1:9">
      <c r="A97" s="7" t="str">
        <f>IFERROR(URUN_KAYIT6[[#This Row],[Kategori]],"")</f>
        <v/>
      </c>
      <c r="B97" s="7" t="str">
        <f>IFERROR(URUN_KAYIT6[[#This Row],[Ürün Kodu]],"")</f>
        <v/>
      </c>
      <c r="C97" s="7" t="str">
        <f>IFERROR(VLOOKUP(B97,ALIŞ!B:C,2,0),"")</f>
        <v/>
      </c>
      <c r="D97" s="7">
        <f>IFERROR(SUMIF(ALIŞ!$B:$B,STOK!$B:$B,ALIŞ!$F:$F),"")</f>
        <v>0</v>
      </c>
      <c r="E97" s="10">
        <f>IFERROR(SUMIF(ALIŞ!$B:$B,STOK!$B:$B,ALIŞ!$G:$G),"")</f>
        <v>0</v>
      </c>
      <c r="F97" s="7">
        <f>IFERROR(SUMIF(SATIŞ!$B:$B,STOK!$B:$B,SATIŞ!$F:$F)," " )</f>
        <v>0</v>
      </c>
      <c r="G97" s="10">
        <f>IFERROR(SUMIF(SATIŞ!$B:$B,STOK!$B:$B,SATIŞ!$G:$G),"")</f>
        <v>0</v>
      </c>
      <c r="H97" s="8">
        <f t="shared" si="4"/>
        <v>0</v>
      </c>
      <c r="I97" s="11">
        <f t="shared" si="5"/>
        <v>0</v>
      </c>
    </row>
    <row r="98" spans="1:9">
      <c r="A98" s="7" t="str">
        <f>IFERROR(URUN_KAYIT6[[#This Row],[Kategori]],"")</f>
        <v/>
      </c>
      <c r="B98" s="7" t="str">
        <f>IFERROR(URUN_KAYIT6[[#This Row],[Ürün Kodu]],"")</f>
        <v/>
      </c>
      <c r="C98" s="7" t="str">
        <f>IFERROR(VLOOKUP(B98,ALIŞ!B:C,2,0),"")</f>
        <v/>
      </c>
      <c r="D98" s="7">
        <f>IFERROR(SUMIF(ALIŞ!$B:$B,STOK!$B:$B,ALIŞ!$F:$F),"")</f>
        <v>0</v>
      </c>
      <c r="E98" s="10">
        <f>IFERROR(SUMIF(ALIŞ!$B:$B,STOK!$B:$B,ALIŞ!$G:$G),"")</f>
        <v>0</v>
      </c>
      <c r="F98" s="7">
        <f>IFERROR(SUMIF(SATIŞ!$B:$B,STOK!$B:$B,SATIŞ!$F:$F)," " )</f>
        <v>0</v>
      </c>
      <c r="G98" s="10">
        <f>IFERROR(SUMIF(SATIŞ!$B:$B,STOK!$B:$B,SATIŞ!$G:$G),"")</f>
        <v>0</v>
      </c>
      <c r="H98" s="8">
        <f t="shared" ref="H98:H107" si="6">IFERROR(D98-F98," ")</f>
        <v>0</v>
      </c>
      <c r="I98" s="11">
        <f t="shared" ref="I98:I107" si="7">IFERROR(G98-E98," ")</f>
        <v>0</v>
      </c>
    </row>
    <row r="99" spans="1:9">
      <c r="A99" s="7" t="str">
        <f>IFERROR(URUN_KAYIT6[[#This Row],[Kategori]],"")</f>
        <v/>
      </c>
      <c r="B99" s="7" t="str">
        <f>IFERROR(URUN_KAYIT6[[#This Row],[Ürün Kodu]],"")</f>
        <v/>
      </c>
      <c r="C99" s="7" t="str">
        <f>IFERROR(VLOOKUP(B99,ALIŞ!B:C,2,0),"")</f>
        <v/>
      </c>
      <c r="D99" s="7">
        <f>IFERROR(SUMIF(ALIŞ!$B:$B,STOK!$B:$B,ALIŞ!$F:$F),"")</f>
        <v>0</v>
      </c>
      <c r="E99" s="10">
        <f>IFERROR(SUMIF(ALIŞ!$B:$B,STOK!$B:$B,ALIŞ!$G:$G),"")</f>
        <v>0</v>
      </c>
      <c r="F99" s="7">
        <f>IFERROR(SUMIF(SATIŞ!$B:$B,STOK!$B:$B,SATIŞ!$F:$F)," " )</f>
        <v>0</v>
      </c>
      <c r="G99" s="10">
        <f>IFERROR(SUMIF(SATIŞ!$B:$B,STOK!$B:$B,SATIŞ!$G:$G),"")</f>
        <v>0</v>
      </c>
      <c r="H99" s="8">
        <f t="shared" si="6"/>
        <v>0</v>
      </c>
      <c r="I99" s="11">
        <f t="shared" si="7"/>
        <v>0</v>
      </c>
    </row>
    <row r="100" spans="1:9">
      <c r="A100" s="7" t="str">
        <f>IFERROR(URUN_KAYIT6[[#This Row],[Kategori]],"")</f>
        <v/>
      </c>
      <c r="B100" s="7" t="str">
        <f>IFERROR(URUN_KAYIT6[[#This Row],[Ürün Kodu]],"")</f>
        <v/>
      </c>
      <c r="C100" s="7" t="str">
        <f>IFERROR(VLOOKUP(B100,ALIŞ!B:C,2,0),"")</f>
        <v/>
      </c>
      <c r="D100" s="7">
        <f>IFERROR(SUMIF(ALIŞ!$B:$B,STOK!$B:$B,ALIŞ!$F:$F),"")</f>
        <v>0</v>
      </c>
      <c r="E100" s="10">
        <f>IFERROR(SUMIF(ALIŞ!$B:$B,STOK!$B:$B,ALIŞ!$G:$G),"")</f>
        <v>0</v>
      </c>
      <c r="F100" s="7">
        <f>IFERROR(SUMIF(SATIŞ!$B:$B,STOK!$B:$B,SATIŞ!$F:$F)," " )</f>
        <v>0</v>
      </c>
      <c r="G100" s="10">
        <f>IFERROR(SUMIF(SATIŞ!$B:$B,STOK!$B:$B,SATIŞ!$G:$G),"")</f>
        <v>0</v>
      </c>
      <c r="H100" s="8">
        <f t="shared" si="6"/>
        <v>0</v>
      </c>
      <c r="I100" s="11">
        <f t="shared" si="7"/>
        <v>0</v>
      </c>
    </row>
    <row r="101" spans="1:9">
      <c r="A101" s="7" t="str">
        <f>IFERROR(URUN_KAYIT6[[#This Row],[Kategori]],"")</f>
        <v/>
      </c>
      <c r="B101" s="7" t="str">
        <f>IFERROR(URUN_KAYIT6[[#This Row],[Ürün Kodu]],"")</f>
        <v/>
      </c>
      <c r="C101" s="7" t="str">
        <f>IFERROR(VLOOKUP(B101,ALIŞ!B:C,2,0),"")</f>
        <v/>
      </c>
      <c r="D101" s="7">
        <f>IFERROR(SUMIF(ALIŞ!$B:$B,STOK!$B:$B,ALIŞ!$F:$F),"")</f>
        <v>0</v>
      </c>
      <c r="E101" s="10">
        <f>IFERROR(SUMIF(ALIŞ!$B:$B,STOK!$B:$B,ALIŞ!$G:$G),"")</f>
        <v>0</v>
      </c>
      <c r="F101" s="7">
        <f>IFERROR(SUMIF(SATIŞ!$B:$B,STOK!$B:$B,SATIŞ!$F:$F)," " )</f>
        <v>0</v>
      </c>
      <c r="G101" s="10">
        <f>IFERROR(SUMIF(SATIŞ!$B:$B,STOK!$B:$B,SATIŞ!$G:$G),"")</f>
        <v>0</v>
      </c>
      <c r="H101" s="8">
        <f t="shared" si="6"/>
        <v>0</v>
      </c>
      <c r="I101" s="11">
        <f t="shared" si="7"/>
        <v>0</v>
      </c>
    </row>
    <row r="102" spans="1:9">
      <c r="A102" s="7" t="str">
        <f>IFERROR(URUN_KAYIT6[[#This Row],[Kategori]],"")</f>
        <v/>
      </c>
      <c r="B102" s="7" t="str">
        <f>IFERROR(URUN_KAYIT6[[#This Row],[Ürün Kodu]],"")</f>
        <v/>
      </c>
      <c r="C102" s="7" t="str">
        <f>IFERROR(VLOOKUP(B102,ALIŞ!B:C,2,0),"")</f>
        <v/>
      </c>
      <c r="D102" s="7">
        <f>IFERROR(SUMIF(ALIŞ!$B:$B,STOK!$B:$B,ALIŞ!$F:$F),"")</f>
        <v>0</v>
      </c>
      <c r="E102" s="10">
        <f>IFERROR(SUMIF(ALIŞ!$B:$B,STOK!$B:$B,ALIŞ!$G:$G),"")</f>
        <v>0</v>
      </c>
      <c r="F102" s="7">
        <f>IFERROR(SUMIF(SATIŞ!$B:$B,STOK!$B:$B,SATIŞ!$F:$F)," " )</f>
        <v>0</v>
      </c>
      <c r="G102" s="10">
        <f>IFERROR(SUMIF(SATIŞ!$B:$B,STOK!$B:$B,SATIŞ!$G:$G),"")</f>
        <v>0</v>
      </c>
      <c r="H102" s="8">
        <f t="shared" si="6"/>
        <v>0</v>
      </c>
      <c r="I102" s="11">
        <f t="shared" si="7"/>
        <v>0</v>
      </c>
    </row>
    <row r="103" spans="1:9">
      <c r="A103" s="7" t="str">
        <f>IFERROR(URUN_KAYIT6[[#This Row],[Kategori]],"")</f>
        <v/>
      </c>
      <c r="B103" s="7" t="str">
        <f>IFERROR(URUN_KAYIT6[[#This Row],[Ürün Kodu]],"")</f>
        <v/>
      </c>
      <c r="C103" s="7" t="str">
        <f>IFERROR(VLOOKUP(B103,ALIŞ!B:C,2,0),"")</f>
        <v/>
      </c>
      <c r="D103" s="7">
        <f>IFERROR(SUMIF(ALIŞ!$B:$B,STOK!$B:$B,ALIŞ!$F:$F),"")</f>
        <v>0</v>
      </c>
      <c r="E103" s="10">
        <f>IFERROR(SUMIF(ALIŞ!$B:$B,STOK!$B:$B,ALIŞ!$G:$G),"")</f>
        <v>0</v>
      </c>
      <c r="F103" s="7">
        <f>IFERROR(SUMIF(SATIŞ!$B:$B,STOK!$B:$B,SATIŞ!$F:$F)," " )</f>
        <v>0</v>
      </c>
      <c r="G103" s="10">
        <f>IFERROR(SUMIF(SATIŞ!$B:$B,STOK!$B:$B,SATIŞ!$G:$G),"")</f>
        <v>0</v>
      </c>
      <c r="H103" s="8">
        <f t="shared" si="6"/>
        <v>0</v>
      </c>
      <c r="I103" s="11">
        <f t="shared" si="7"/>
        <v>0</v>
      </c>
    </row>
    <row r="104" spans="1:9">
      <c r="A104" s="7" t="str">
        <f>IFERROR(URUN_KAYIT6[[#This Row],[Kategori]],"")</f>
        <v/>
      </c>
      <c r="B104" s="7" t="str">
        <f>IFERROR(URUN_KAYIT6[[#This Row],[Ürün Kodu]],"")</f>
        <v/>
      </c>
      <c r="C104" s="7" t="str">
        <f>IFERROR(VLOOKUP(B104,ALIŞ!B:C,2,0),"")</f>
        <v/>
      </c>
      <c r="D104" s="7">
        <f>IFERROR(SUMIF(ALIŞ!$B:$B,STOK!$B:$B,ALIŞ!$F:$F),"")</f>
        <v>0</v>
      </c>
      <c r="E104" s="10">
        <f>IFERROR(SUMIF(ALIŞ!$B:$B,STOK!$B:$B,ALIŞ!$G:$G),"")</f>
        <v>0</v>
      </c>
      <c r="F104" s="7">
        <f>IFERROR(SUMIF(SATIŞ!$B:$B,STOK!$B:$B,SATIŞ!$F:$F)," " )</f>
        <v>0</v>
      </c>
      <c r="G104" s="10">
        <f>IFERROR(SUMIF(SATIŞ!$B:$B,STOK!$B:$B,SATIŞ!$G:$G),"")</f>
        <v>0</v>
      </c>
      <c r="H104" s="8">
        <f t="shared" si="6"/>
        <v>0</v>
      </c>
      <c r="I104" s="11">
        <f t="shared" si="7"/>
        <v>0</v>
      </c>
    </row>
    <row r="105" spans="1:9">
      <c r="A105" s="7" t="str">
        <f>IFERROR(URUN_KAYIT6[[#This Row],[Kategori]],"")</f>
        <v/>
      </c>
      <c r="B105" s="7" t="str">
        <f>IFERROR(URUN_KAYIT6[[#This Row],[Ürün Kodu]],"")</f>
        <v/>
      </c>
      <c r="C105" s="7" t="str">
        <f>IFERROR(VLOOKUP(B105,ALIŞ!B:C,2,0),"")</f>
        <v/>
      </c>
      <c r="D105" s="7">
        <f>IFERROR(SUMIF(ALIŞ!$B:$B,STOK!$B:$B,ALIŞ!$F:$F),"")</f>
        <v>0</v>
      </c>
      <c r="E105" s="10">
        <f>IFERROR(SUMIF(ALIŞ!$B:$B,STOK!$B:$B,ALIŞ!$G:$G),"")</f>
        <v>0</v>
      </c>
      <c r="F105" s="7">
        <f>IFERROR(SUMIF(SATIŞ!$B:$B,STOK!$B:$B,SATIŞ!$F:$F)," " )</f>
        <v>0</v>
      </c>
      <c r="G105" s="10">
        <f>IFERROR(SUMIF(SATIŞ!$B:$B,STOK!$B:$B,SATIŞ!$G:$G),"")</f>
        <v>0</v>
      </c>
      <c r="H105" s="8">
        <f t="shared" si="6"/>
        <v>0</v>
      </c>
      <c r="I105" s="11">
        <f t="shared" si="7"/>
        <v>0</v>
      </c>
    </row>
    <row r="106" spans="1:9">
      <c r="A106" s="7" t="str">
        <f>IFERROR(URUN_KAYIT6[[#This Row],[Kategori]],"")</f>
        <v/>
      </c>
      <c r="B106" s="7" t="str">
        <f>IFERROR(URUN_KAYIT6[[#This Row],[Ürün Kodu]],"")</f>
        <v/>
      </c>
      <c r="C106" s="7" t="str">
        <f>IFERROR(VLOOKUP(B106,ALIŞ!B:C,2,0),"")</f>
        <v/>
      </c>
      <c r="D106" s="7">
        <f>IFERROR(SUMIF(ALIŞ!$B:$B,STOK!$B:$B,ALIŞ!$F:$F),"")</f>
        <v>0</v>
      </c>
      <c r="E106" s="10">
        <f>IFERROR(SUMIF(ALIŞ!$B:$B,STOK!$B:$B,ALIŞ!$G:$G),"")</f>
        <v>0</v>
      </c>
      <c r="F106" s="7">
        <f>IFERROR(SUMIF(SATIŞ!$B:$B,STOK!$B:$B,SATIŞ!$F:$F)," " )</f>
        <v>0</v>
      </c>
      <c r="G106" s="10">
        <f>IFERROR(SUMIF(SATIŞ!$B:$B,STOK!$B:$B,SATIŞ!$G:$G),"")</f>
        <v>0</v>
      </c>
      <c r="H106" s="8">
        <f t="shared" si="6"/>
        <v>0</v>
      </c>
      <c r="I106" s="11">
        <f t="shared" si="7"/>
        <v>0</v>
      </c>
    </row>
    <row r="107" spans="1:9">
      <c r="A107" s="7" t="str">
        <f>IFERROR(URUN_KAYIT6[[#This Row],[Kategori]],"")</f>
        <v/>
      </c>
      <c r="B107" s="7" t="str">
        <f>IFERROR(URUN_KAYIT6[[#This Row],[Ürün Kodu]],"")</f>
        <v/>
      </c>
      <c r="C107" s="7" t="str">
        <f>IFERROR(VLOOKUP(B107,ALIŞ!B:C,2,0),"")</f>
        <v/>
      </c>
      <c r="D107" s="7">
        <f>IFERROR(SUMIF(ALIŞ!$B:$B,STOK!$B:$B,ALIŞ!$F:$F),"")</f>
        <v>0</v>
      </c>
      <c r="E107" s="10">
        <f>IFERROR(SUMIF(ALIŞ!$B:$B,STOK!$B:$B,ALIŞ!$G:$G),"")</f>
        <v>0</v>
      </c>
      <c r="F107" s="7">
        <f>IFERROR(SUMIF(SATIŞ!$B:$B,STOK!$B:$B,SATIŞ!$F:$F)," " )</f>
        <v>0</v>
      </c>
      <c r="G107" s="10">
        <f>IFERROR(SUMIF(SATIŞ!$B:$B,STOK!$B:$B,SATIŞ!$G:$G),"")</f>
        <v>0</v>
      </c>
      <c r="H107" s="8">
        <f t="shared" si="6"/>
        <v>0</v>
      </c>
      <c r="I107" s="11">
        <f t="shared" si="7"/>
        <v>0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3</vt:i4>
      </vt:variant>
      <vt:variant>
        <vt:lpstr>Adlandırılmış Aralıklar</vt:lpstr>
      </vt:variant>
      <vt:variant>
        <vt:i4>1</vt:i4>
      </vt:variant>
    </vt:vector>
  </HeadingPairs>
  <TitlesOfParts>
    <vt:vector size="4" baseType="lpstr">
      <vt:lpstr>ALIŞ</vt:lpstr>
      <vt:lpstr>SATIŞ</vt:lpstr>
      <vt:lpstr>STOK</vt:lpstr>
      <vt:lpstr>LISTE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izzet köse</dc:creator>
  <cp:lastModifiedBy>izzet köse</cp:lastModifiedBy>
  <dcterms:created xsi:type="dcterms:W3CDTF">2021-01-30T11:02:49Z</dcterms:created>
  <dcterms:modified xsi:type="dcterms:W3CDTF">2021-02-03T17:59:54Z</dcterms:modified>
</cp:coreProperties>
</file>